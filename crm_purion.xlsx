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5e5cbd7d4f4d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M_Leads" sheetId="1" r:id="R0fab8aa640c74d65"/>
    <x:sheet xmlns:r="http://schemas.openxmlformats.org/officeDocument/2006/relationships" name="Listas" sheetId="2" r:id="Re583b0f53e4941d9"/>
    <x:sheet xmlns:r="http://schemas.openxmlformats.org/officeDocument/2006/relationships" name="Historico_Conversas" sheetId="3" r:id="Rf7b90be750ca44cd"/>
    <x:sheet xmlns:r="http://schemas.openxmlformats.org/officeDocument/2006/relationships" name="Entradas_Nao_Comerciais" sheetId="4" r:id="R78a20caea6944e16"/>
    <x:sheet xmlns:r="http://schemas.openxmlformats.org/officeDocument/2006/relationships" name="Resumo_Dashboard" sheetId="5" r:id="R8acdd51e72d445c3"/>
    <x:sheet xmlns:r="http://schemas.openxmlformats.org/officeDocument/2006/relationships" name="Como_Atualizar" sheetId="6" r:id="Rca8a68060b8241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Carlito"/>
    </x:font>
    <x:font>
      <x:sz val="10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11111"/>
      </x:patternFill>
    </x:fill>
    <x:fill>
      <x:patternFill patternType="solid">
        <x:fgColor rgb="DED9CE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09813737bd48f1" /><Relationship Type="http://schemas.openxmlformats.org/officeDocument/2006/relationships/theme" Target="/xl/theme/theme1.xml" Id="R9c9e7814a1964d16" /><Relationship Type="http://schemas.openxmlformats.org/officeDocument/2006/relationships/sharedStrings" Target="/xl/sharedStrings.xml" Id="R4078d74c40d64914" /><Relationship Type="http://schemas.openxmlformats.org/officeDocument/2006/relationships/worksheet" Target="/xl/worksheets/sheet1.xml" Id="R0fab8aa640c74d65" /><Relationship Type="http://schemas.openxmlformats.org/officeDocument/2006/relationships/worksheet" Target="/xl/worksheets/sheet2.xml" Id="Re583b0f53e4941d9" /><Relationship Type="http://schemas.openxmlformats.org/officeDocument/2006/relationships/worksheet" Target="/xl/worksheets/sheet3.xml" Id="Rf7b90be750ca44cd" /><Relationship Type="http://schemas.openxmlformats.org/officeDocument/2006/relationships/worksheet" Target="/xl/worksheets/sheet4.xml" Id="R78a20caea6944e16" /><Relationship Type="http://schemas.openxmlformats.org/officeDocument/2006/relationships/worksheet" Target="/xl/worksheets/sheet5.xml" Id="R8acdd51e72d445c3" /><Relationship Type="http://schemas.openxmlformats.org/officeDocument/2006/relationships/worksheet" Target="/xl/worksheets/sheet6.xml" Id="Rca8a68060b8241c6" /></Relationships>
</file>

<file path=xl/tables/table1.xml><?xml version="1.0" encoding="utf-8"?>
<x:table xmlns:x="http://schemas.openxmlformats.org/spreadsheetml/2006/main" id="1" name="CRMLeadsTable" displayName="CRMLeadsTable" ref="A1:W44" headerRowCount="1">
  <x:tableColumns count="23">
    <x:tableColumn id="1" name="ID"/>
    <x:tableColumn id="2" name="Data do pedido"/>
    <x:tableColumn id="3" name="Cliente / Lead"/>
    <x:tableColumn id="4" name="Empresa"/>
    <x:tableColumn id="5" name="Email"/>
    <x:tableColumn id="6" name="Telefone"/>
    <x:tableColumn id="7" name="Origem aparente"/>
    <x:tableColumn id="8" name="Origem principal"/>
    <x:tableColumn id="9" name="Tipo de serviço"/>
    <x:tableColumn id="10" name="Localização"/>
    <x:tableColumn id="11" name="Tipologia / Dimensão"/>
    <x:tableColumn id="12" name="Necessidade / pedido"/>
    <x:tableColumn id="13" name="Estado comercial"/>
    <x:tableColumn id="14" name="Status cadastro"/>
    <x:tableColumn id="15" name="Valor enviado / estimado"/>
    <x:tableColumn id="16" name="Pago / Faturado"/>
    <x:tableColumn id="17" name="Potencial recorrente"/>
    <x:tableColumn id="18" name="Última resposta / histórico"/>
    <x:tableColumn id="19" name="Próximo passo / observações"/>
    <x:tableColumn id="20" name="Fonte / evidência"/>
    <x:tableColumn id="21" name="Link Gmail"/>
    <x:tableColumn id="22" name="Última atualização"/>
    <x:tableColumn id="23" name="Mês lead"/>
  </x:tableColumns>
  <x:tableStyleInfo name="TableStyleMedium2" showRowStripes="1"/>
</x:table>
</file>

<file path=xl/tables/table2.xml><?xml version="1.0" encoding="utf-8"?>
<x:table xmlns:x="http://schemas.openxmlformats.org/spreadsheetml/2006/main" id="2" name="ListasTable" displayName="ListasTable" ref="A1:D26" headerRowCount="1">
  <x:tableColumns count="4">
    <x:tableColumn id="1" name="Estado comercial"/>
    <x:tableColumn id="2" name="Origem principal"/>
    <x:tableColumn id="3" name="Tipo de serviço"/>
    <x:tableColumn id="4" name="Pago / Faturado"/>
  </x:tableColumns>
  <x:tableStyleInfo name="TableStyleMedium2" showRowStripes="1"/>
</x:table>
</file>

<file path=xl/tables/table3.xml><?xml version="1.0" encoding="utf-8"?>
<x:table xmlns:x="http://schemas.openxmlformats.org/spreadsheetml/2006/main" id="3" name="HistoricoTable" displayName="HistoricoTable" ref="A1:F50" headerRowCount="1">
  <x:tableColumns count="6">
    <x:tableColumn id="1" name="ID Lead"/>
    <x:tableColumn id="2" name="Data"/>
    <x:tableColumn id="3" name="Canal"/>
    <x:tableColumn id="4" name="Interveniente"/>
    <x:tableColumn id="5" name="Histórico / Conversa"/>
    <x:tableColumn id="6" name="Fonte / Link"/>
  </x:tableColumns>
  <x:tableStyleInfo name="TableStyleMedium2" showRowStripes="1"/>
</x:table>
</file>

<file path=xl/tables/table4.xml><?xml version="1.0" encoding="utf-8"?>
<x:table xmlns:x="http://schemas.openxmlformats.org/spreadsheetml/2006/main" id="4" name="EntradasNaoComerciaisTable" displayName="EntradasNaoComerciaisTable" ref="A1:G5" headerRowCount="1">
  <x:tableColumns count="7">
    <x:tableColumn id="1" name="Data"/>
    <x:tableColumn id="2" name="Nome"/>
    <x:tableColumn id="3" name="Email"/>
    <x:tableColumn id="4" name="Telefone"/>
    <x:tableColumn id="5" name="Origem"/>
    <x:tableColumn id="6" name="Tipo"/>
    <x:tableColumn id="7" name="Históric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9bfda0afe648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326afbdf29948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d8c41ef92f24c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4ce0c5d8e454a3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20" hidden="0" customWidth="1"/>
    <x:col min="5" max="5" width="2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38" hidden="0" customWidth="1"/>
    <x:col min="13" max="13" width="24" hidden="0" customWidth="1"/>
    <x:col min="14" max="14" width="24" hidden="0" customWidth="1"/>
    <x:col min="15" max="15" width="34" hidden="0" customWidth="1"/>
    <x:col min="16" max="16" width="18" hidden="0" customWidth="1"/>
    <x:col min="17" max="17" width="18" hidden="0" customWidth="1"/>
    <x:col min="18" max="18" width="42" hidden="0" customWidth="1"/>
    <x:col min="19" max="19" width="42" hidden="0" customWidth="1"/>
    <x:col min="20" max="20" width="30" hidden="0" customWidth="1"/>
    <x:col min="21" max="21" width="32" hidden="0" customWidth="1"/>
    <x:col min="22" max="22" width="16" hidden="0" customWidth="1"/>
    <x:col min="23" max="23" width="16" hidden="0" customWidth="1"/>
  </x:cols>
  <x:sheetData>
    <x:row r="1">
      <x:c r="A1" s="18" t="str">
        <x:v>ID</x:v>
      </x:c>
      <x:c r="B1" s="18" t="str">
        <x:v>Data do pedido</x:v>
      </x:c>
      <x:c r="C1" s="18" t="str">
        <x:v>Cliente / Lead</x:v>
      </x:c>
      <x:c r="D1" s="18" t="str">
        <x:v>Empresa</x:v>
      </x:c>
      <x:c r="E1" s="18" t="str">
        <x:v>Email</x:v>
      </x:c>
      <x:c r="F1" s="18" t="str">
        <x:v>Telefone</x:v>
      </x:c>
      <x:c r="G1" s="18" t="str">
        <x:v>Origem aparente</x:v>
      </x:c>
      <x:c r="H1" s="18" t="str">
        <x:v>Origem principal</x:v>
      </x:c>
      <x:c r="I1" s="18" t="str">
        <x:v>Tipo de serviço</x:v>
      </x:c>
      <x:c r="J1" s="18" t="str">
        <x:v>Localização</x:v>
      </x:c>
      <x:c r="K1" s="18" t="str">
        <x:v>Tipologia / Dimensão</x:v>
      </x:c>
      <x:c r="L1" s="18" t="str">
        <x:v>Necessidade / pedido</x:v>
      </x:c>
      <x:c r="M1" s="18" t="str">
        <x:v>Estado comercial</x:v>
      </x:c>
      <x:c r="N1" s="18" t="str">
        <x:v>Status cadastro</x:v>
      </x:c>
      <x:c r="O1" s="18" t="str">
        <x:v>Valor enviado / estimado</x:v>
      </x:c>
      <x:c r="P1" s="18" t="str">
        <x:v>Pago / Faturado</x:v>
      </x:c>
      <x:c r="Q1" s="18" t="str">
        <x:v>Potencial recorrente</x:v>
      </x:c>
      <x:c r="R1" s="18" t="str">
        <x:v>Última resposta / histórico</x:v>
      </x:c>
      <x:c r="S1" s="18" t="str">
        <x:v>Próximo passo / observações</x:v>
      </x:c>
      <x:c r="T1" s="18" t="str">
        <x:v>Fonte / evidência</x:v>
      </x:c>
      <x:c r="U1" s="18" t="str">
        <x:v>Link Gmail</x:v>
      </x:c>
      <x:c r="V1" s="18" t="str">
        <x:v>Última atualização</x:v>
      </x:c>
      <x:c r="W1" s="18" t="str">
        <x:v>Mês lead</x:v>
      </x:c>
    </x:row>
    <x:row r="2">
      <x:c r="A2" s="19" t="str">
        <x:v>CRM-0001</x:v>
      </x:c>
      <x:c r="B2" s="19" t="str">
        <x:v>2026-05-12</x:v>
      </x:c>
      <x:c r="C2" s="19" t="str">
        <x:v>Daniela Campos</x:v>
      </x:c>
      <x:c r="D2" s="19" t="str"/>
      <x:c r="E2" s="19" t="str">
        <x:v>predigonda.dc@outlook.pt</x:v>
      </x:c>
      <x:c r="F2" s="19" t="str">
        <x:v>+351914441227</x:v>
      </x:c>
      <x:c r="G2" s="19" t="str">
        <x:v>Formulário site</x:v>
      </x:c>
      <x:c r="H2" s="19" t="str">
        <x:v>Formulário site</x:v>
      </x:c>
      <x:c r="I2" s="19" t="str">
        <x:v>A definir</x:v>
      </x:c>
      <x:c r="J2" s="19" t="str">
        <x:v>A definir</x:v>
      </x:c>
      <x:c r="K2" s="19" t="str">
        <x:v>A definir</x:v>
      </x:c>
      <x:c r="L2" s="19" t="str">
        <x:v>Pedido de orçamento recebido pelo formulário do site. Detalhes não abertos no histórico desta versão.</x:v>
      </x:c>
      <x:c r="M2" s="19" t="str">
        <x:v>Novo lead / qualificação</x:v>
      </x:c>
      <x:c r="N2" s="19" t="str">
        <x:v>Novo pedido</x:v>
      </x:c>
      <x:c r="O2" s="19" t="str"/>
      <x:c r="P2" s="19" t="str">
        <x:v>Não</x:v>
      </x:c>
      <x:c r="Q2" s="19" t="str">
        <x:v>A definir</x:v>
      </x:c>
      <x:c r="R2" s="19" t="str">
        <x:v>Pedido recebido via formulário em 12/05/2026.</x:v>
      </x:c>
      <x:c r="S2" s="19" t="str">
        <x:v>Qualificar necessidade, recolher dados em falta e enviar proposta.</x:v>
      </x:c>
      <x:c r="T2" s="19" t="str">
        <x:v>FormSubmit: Novo pedido de orçamento — Purion</x:v>
      </x:c>
      <x:c r="U2" s="19" t="str"/>
      <x:c r="V2" s="19" t="str">
        <x:v>2026-05-13</x:v>
      </x:c>
      <x:c r="W2" s="19" t="str">
        <x:v>2026-05-12</x:v>
      </x:c>
    </x:row>
    <x:row r="3">
      <x:c r="A3" s="19" t="str">
        <x:v>CRM-0002</x:v>
      </x:c>
      <x:c r="B3" s="19" t="str">
        <x:v>2026-05-12</x:v>
      </x:c>
      <x:c r="C3" s="19" t="str">
        <x:v>Vânia Santos</x:v>
      </x:c>
      <x:c r="D3" s="19" t="str">
        <x:v>Criatus</x:v>
      </x:c>
      <x:c r="E3" s="19" t="str">
        <x:v>geral@criatus.pt</x:v>
      </x:c>
      <x:c r="F3" s="19" t="str">
        <x:v>923350314 / 220 994 902</x:v>
      </x:c>
      <x:c r="G3" s="19" t="str">
        <x:v>Formulário site + Email</x:v>
      </x:c>
      <x:c r="H3" s="19" t="str">
        <x:v>Formulário site</x:v>
      </x:c>
      <x:c r="I3" s="19" t="str">
        <x:v>Alojamento Local</x:v>
      </x:c>
      <x:c r="J3" s="19" t="str">
        <x:v>A definir</x:v>
      </x:c>
      <x:c r="K3" s="19" t="str">
        <x:v>T1 com kitchenette</x:v>
      </x:c>
      <x:c r="L3" s="19" t="str">
        <x:v>Solicitou valores para limpeza de T1 e informação sobre serviços complementares.</x:v>
      </x:c>
      <x:c r="M3" s="19" t="str">
        <x:v>Contactado / informação enviada</x:v>
      </x:c>
      <x:c r="N3" s="19" t="str">
        <x:v>Respondido</x:v>
      </x:c>
      <x:c r="O3" s="19" t="str">
        <x:v>Bronze 33€+IVA; Prata 40€+IVA; Ouro 46€+IVA para T1 com kitchenette. Têxteis fornecidos pelo cliente; Purion trata lavandaria.</x:v>
      </x:c>
      <x:c r="P3" s="19" t="str">
        <x:v>Não</x:v>
      </x:c>
      <x:c r="Q3" s="19" t="str">
        <x:v>Recorrente / potencial recorrente</x:v>
      </x:c>
      <x:c r="R3" s="19" t="str">
        <x:v>Cliente pediu valores e perguntou sobre limpezas profundas, gestão de consumíveis, preparação integral, fornecimento de roupas de cama/banho/cozinha. Purion respondeu com explicação e anexos.</x:v>
      </x:c>
      <x:c r="S3" s="19" t="str">
        <x:v>Atualizar próximo passo conforme resposta do cliente.</x:v>
      </x:c>
      <x:c r="T3" s="19" t="str">
        <x:v>Gmail thread Criatus</x:v>
      </x:c>
      <x:c r="U3" s="19" t="str">
        <x:v>https://mail.google.com/mail/#all/19e1c0c8c2194e3e</x:v>
      </x:c>
      <x:c r="V3" s="19" t="str">
        <x:v>2026-05-12</x:v>
      </x:c>
      <x:c r="W3" s="19" t="str">
        <x:v>2026-05-12</x:v>
      </x:c>
    </x:row>
    <x:row r="4">
      <x:c r="A4" s="19" t="str">
        <x:v>CRM-0003</x:v>
      </x:c>
      <x:c r="B4" s="19" t="str">
        <x:v>2026-05-12</x:v>
      </x:c>
      <x:c r="C4" s="19" t="str">
        <x:v>Ana Mota</x:v>
      </x:c>
      <x:c r="D4" s="19" t="str"/>
      <x:c r="E4" s="19" t="str"/>
      <x:c r="F4" s="19" t="str"/>
      <x:c r="G4" s="19" t="str">
        <x:v>WhatsApp</x:v>
      </x:c>
      <x:c r="H4" s="19" t="str">
        <x:v>WhatsApp</x:v>
      </x:c>
      <x:c r="I4" s="19" t="str">
        <x:v>Alojamento Local</x:v>
      </x:c>
      <x:c r="J4" s="19" t="str">
        <x:v>Porto, Poveiros</x:v>
      </x:c>
      <x:c r="K4" s="19" t="str">
        <x:v>6 T0 no mesmo prédio; sem cozinha; chaleira e mini frigorífico</x:v>
      </x:c>
      <x:c r="L4" s="19" t="str">
        <x:v>Limpeza entre reservas/check-out e check-in, recorrente.</x:v>
      </x:c>
      <x:c r="M4" s="19" t="str">
        <x:v>Proposta / orçamento enviado</x:v>
      </x:c>
      <x:c r="N4" s="19" t="str">
        <x:v>Preçário enviado</x:v>
      </x:c>
      <x:c r="O4" s="19" t="str">
        <x:v>Proposta estruturada com base no preçário: Bronze 30€+IVA/T0; Prata 36€+IVA/T0; Ouro 42€+IVA/T0.</x:v>
      </x:c>
      <x:c r="P4" s="19" t="str">
        <x:v>Não</x:v>
      </x:c>
      <x:c r="Q4" s="19" t="str">
        <x:v>Recorrente / potencial recorrente</x:v>
      </x:c>
      <x:c r="R4" s="19" t="str">
        <x:v>Lead iniciou conversa pedindo orçamento para alojamento local. Confirmou 6 T0 no mesmo prédio nos Poveiros. Purion enviou preçário e explicou pacotes, lavandaria própria e reposição de consumíveis.</x:v>
      </x:c>
      <x:c r="S4" s="19" t="str">
        <x:v>Fazer follow-up comercial e atualizar resposta do cliente.</x:v>
      </x:c>
      <x:c r="T4" s="19" t="str">
        <x:v>WhatsApp fornecido pelo utilizador</x:v>
      </x:c>
      <x:c r="U4" s="19" t="str"/>
      <x:c r="V4" s="19" t="str">
        <x:v>2026-05-13</x:v>
      </x:c>
      <x:c r="W4" s="19" t="str">
        <x:v>2026-05-12</x:v>
      </x:c>
    </x:row>
    <x:row r="5">
      <x:c r="A5" s="19" t="str">
        <x:v>CRM-0004</x:v>
      </x:c>
      <x:c r="B5" s="19" t="str">
        <x:v>2026-05-11</x:v>
      </x:c>
      <x:c r="C5" s="19" t="str">
        <x:v>Ivy Xing / Min Xing</x:v>
      </x:c>
      <x:c r="D5" s="19" t="str"/>
      <x:c r="E5" s="19" t="str">
        <x:v>ivyx99@gmail.com</x:v>
      </x:c>
      <x:c r="F5" s="19" t="str">
        <x:v>+1 207 844 4234</x:v>
      </x:c>
      <x:c r="G5" s="19" t="str">
        <x:v>Email</x:v>
      </x:c>
      <x:c r="H5" s="19" t="str">
        <x:v>Email</x:v>
      </x:c>
      <x:c r="I5" s="19" t="str">
        <x:v>Limpeza residencial / estúdio</x:v>
      </x:c>
      <x:c r="J5" s="19" t="str">
        <x:v>Olimpo Studios, R. José Cardoso da Silva 15, AK, Porto 4200-410</x:v>
      </x:c>
      <x:c r="K5" s="19" t="str">
        <x:v>Estúdio 36m²</x:v>
      </x:c>
      <x:c r="L5" s="19" t="str">
        <x:v>Limpeza de estúdio vazio, frigorífico com mau cheiro, limpeza profunda pontual.</x:v>
      </x:c>
      <x:c r="M5" s="19" t="str">
        <x:v>Agendado / em operação</x:v>
      </x:c>
      <x:c r="N5" s="19" t="str">
        <x:v>Agendado / pagamento em confirmação</x:v>
      </x:c>
      <x:c r="O5" s="19" t="str">
        <x:v>50€ + IVA; cliente informou transferência de 50€ e adicional de 12€.</x:v>
      </x:c>
      <x:c r="P5" s="19" t="str">
        <x:v>Não</x:v>
      </x:c>
      <x:c r="Q5" s="19" t="str">
        <x:v>Pontual</x:v>
      </x:c>
      <x:c r="R5" s="19" t="str">
        <x:v>Cliente pediu limpeza de estúdio. Purion agendou 15/05/2026 das 10h às 12h. Cliente enviou dados fiscais: Min Xing, NIF 335809391.</x:v>
      </x:c>
      <x:c r="S5" s="19" t="str">
        <x:v>Confirmar execução, pagamento/faturação e feedback após o serviço.</x:v>
      </x:c>
      <x:c r="T5" s="19" t="str">
        <x:v>Gmail thread Ivy</x:v>
      </x:c>
      <x:c r="U5" s="19" t="str"/>
      <x:c r="V5" s="19" t="str">
        <x:v>2026-05-12</x:v>
      </x:c>
      <x:c r="W5" s="19" t="str">
        <x:v>2026-05-11</x:v>
      </x:c>
    </x:row>
    <x:row r="6">
      <x:c r="A6" s="19" t="str">
        <x:v>CRM-0005</x:v>
      </x:c>
      <x:c r="B6" s="19" t="str">
        <x:v>2026-05-04</x:v>
      </x:c>
      <x:c r="C6" s="19" t="str">
        <x:v>Anton Popov</x:v>
      </x:c>
      <x:c r="D6" s="19" t="str"/>
      <x:c r="E6" s="19" t="str">
        <x:v>avp.0192@gmail.com</x:v>
      </x:c>
      <x:c r="F6" s="19" t="str">
        <x:v>921764535</x:v>
      </x:c>
      <x:c r="G6" s="19" t="str">
        <x:v>Formulário site + Email</x:v>
      </x:c>
      <x:c r="H6" s="19" t="str">
        <x:v>Formulário site</x:v>
      </x:c>
      <x:c r="I6" s="19" t="str">
        <x:v>Alojamento Local</x:v>
      </x:c>
      <x:c r="J6" s="19" t="str">
        <x:v>Rua Maria Adelaide Freitas Gonçalves 65, 6º andar, apt 6A/6Esq</x:v>
      </x:c>
      <x:c r="K6" s="19" t="str">
        <x:v>T1 cerca de 50m² com terraço</x:v>
      </x:c>
      <x:c r="L6" s="19" t="str">
        <x:v>Limpeza geral de AL T1.</x:v>
      </x:c>
      <x:c r="M6" s="19" t="str">
        <x:v>Faturado / pago</x:v>
      </x:c>
      <x:c r="N6" s="19" t="str">
        <x:v>Faturado / pago</x:v>
      </x:c>
      <x:c r="O6" s="19" t="str">
        <x:v>Orçamento enviado; cliente aceitou proposta e taxa adicional de 15€ para limpeza/enceramento de peitoril; comprovativo de pagamento recebido em 07/05/2026.</x:v>
      </x:c>
      <x:c r="P6" s="19" t="str">
        <x:v>Sim</x:v>
      </x:c>
      <x:c r="Q6" s="19" t="str">
        <x:v>Recorrente / potencial recorrente</x:v>
      </x:c>
      <x:c r="R6" s="19" t="str">
        <x:v>Serviço confirmado para 09/05/2026 das 11h às 15h. Cliente aceitou a proposta, aceitou taxa adicional de 15€ para limpeza/enceramento de peitoril, enviou comprovativo de pagamento em 07/05/2026 e a Purion enviou follow-up de feedback após o serviço.</x:v>
      </x:c>
      <x:c r="S6" s="19" t="str">
        <x:v>Registo concluído; manter histórico e eventual feedback/recorrência.</x:v>
      </x:c>
      <x:c r="T6" s="19" t="str">
        <x:v>Gmail: Novo pedido de orçamento / Orçamento para limpeza geral de AL T1</x:v>
      </x:c>
      <x:c r="U6" s="19" t="str">
        <x:v>https://mail.google.com/mail/#all/19df31170263836d</x:v>
      </x:c>
      <x:c r="V6" s="19" t="str">
        <x:v>2026-05-13</x:v>
      </x:c>
      <x:c r="W6" s="19" t="str">
        <x:v>2026-05-04</x:v>
      </x:c>
    </x:row>
    <x:row r="7">
      <x:c r="A7" s="19" t="str">
        <x:v>CRM-0006</x:v>
      </x:c>
      <x:c r="B7" s="19" t="str">
        <x:v>2026-04-30</x:v>
      </x:c>
      <x:c r="C7" s="19" t="str">
        <x:v>Maria Luís Antas de Barros</x:v>
      </x:c>
      <x:c r="D7" s="19" t="str"/>
      <x:c r="E7" s="19" t="str">
        <x:v>marialuisbarros@gmail.com</x:v>
      </x:c>
      <x:c r="F7" s="19" t="str">
        <x:v>00447494834323</x:v>
      </x:c>
      <x:c r="G7" s="19" t="str">
        <x:v>Formulário site + WhatsApp</x:v>
      </x:c>
      <x:c r="H7" s="19" t="str">
        <x:v>Formulário site</x:v>
      </x:c>
      <x:c r="I7" s="19" t="str">
        <x:v>Alojamento Local</x:v>
      </x:c>
      <x:c r="J7" s="19" t="str">
        <x:v>A definir</x:v>
      </x:c>
      <x:c r="K7" s="19" t="str">
        <x:v>T1</x:v>
      </x:c>
      <x:c r="L7" s="19" t="str">
        <x:v>Solicitou limpeza Bronze 15/05 de manhã e Prata 23/05; caixa de chaves.</x:v>
      </x:c>
      <x:c r="M7" s="19" t="str">
        <x:v>Agendado / em operação</x:v>
      </x:c>
      <x:c r="N7" s="19" t="str">
        <x:v>WhatsApp criado / em operação</x:v>
      </x:c>
      <x:c r="O7" s="19" t="str">
        <x:v>Preçário AL enviado.</x:v>
      </x:c>
      <x:c r="P7" s="19" t="str">
        <x:v>Não</x:v>
      </x:c>
      <x:c r="Q7" s="19" t="str">
        <x:v>Recorrente / potencial recorrente</x:v>
      </x:c>
      <x:c r="R7" s="19" t="str">
        <x:v>Pedido recebido por formulário. Purion enviou apresentação e preçários. Cliente enviou WhatsApp e o grupo foi criado.</x:v>
      </x:c>
      <x:c r="S7" s="19" t="str">
        <x:v>Confirmar execução, pagamento/faturação e feedback após o serviço.</x:v>
      </x:c>
      <x:c r="T7" s="19" t="str">
        <x:v>Gmail + atualização utilizador</x:v>
      </x:c>
      <x:c r="U7" s="19" t="str">
        <x:v>https://mail.google.com/mail/#all/19de066af3d580df</x:v>
      </x:c>
      <x:c r="V7" s="19" t="str">
        <x:v>2026-05-13</x:v>
      </x:c>
      <x:c r="W7" s="19" t="str">
        <x:v>2026-04-30</x:v>
      </x:c>
    </x:row>
    <x:row r="8">
      <x:c r="A8" s="19" t="str">
        <x:v>CRM-0007</x:v>
      </x:c>
      <x:c r="B8" s="19" t="str">
        <x:v>2026-04-29</x:v>
      </x:c>
      <x:c r="C8" s="19" t="str">
        <x:v>Maria José Ribeiro / Maria Ribeiro</x:v>
      </x:c>
      <x:c r="D8" s="19" t="str">
        <x:v>IHG / Crowne Plaza Porto</x:v>
      </x:c>
      <x:c r="E8" s="19" t="str">
        <x:v>maria.ribeiro@ihg.com</x:v>
      </x:c>
      <x:c r="F8" s="19" t="str">
        <x:v>926900234 / +351 926 900 234</x:v>
      </x:c>
      <x:c r="G8" s="19" t="str">
        <x:v>Formulário site + Email</x:v>
      </x:c>
      <x:c r="H8" s="19" t="str">
        <x:v>Formulário site</x:v>
      </x:c>
      <x:c r="I8" s="19" t="str">
        <x:v>Hotelaria</x:v>
      </x:c>
      <x:c r="J8" s="19" t="str">
        <x:v>Crowne Plaza Porto, Avenida da Boavista 1466, Porto</x:v>
      </x:c>
      <x:c r="K8" s="19" t="str">
        <x:v>232 quartos, 40 Junior Suites</x:v>
      </x:c>
      <x:c r="L8" s="19" t="str">
        <x:v>Limpeza de quartos durante estadia e preparação pós-check-out.</x:v>
      </x:c>
      <x:c r="M8" s="19" t="str">
        <x:v>Proposta / orçamento enviado</x:v>
      </x:c>
      <x:c r="N8" s="19" t="str">
        <x:v>Dados recebidos para proposta</x:v>
      </x:c>
      <x:c r="O8" s="19" t="str">
        <x:v>Faturação preferida por quarto limpo; produtos e consumíveis do hotel; fardamento do hotel; produtividade atual 13 quartos/colaborador/8h.</x:v>
      </x:c>
      <x:c r="P8" s="19" t="str">
        <x:v>Não</x:v>
      </x:c>
      <x:c r="Q8" s="19" t="str">
        <x:v>Recorrente / potencial recorrente</x:v>
      </x:c>
      <x:c r="R8" s="19" t="str">
        <x:v>Purion enviou apresentação e perguntas. Cliente respondeu com âmbito: apenas quartos. Depois confirmou modelo por quarto, produtos do hotel e referência operacional.</x:v>
      </x:c>
      <x:c r="S8" s="19" t="str">
        <x:v>Fazer follow-up comercial e atualizar resposta do cliente.</x:v>
      </x:c>
      <x:c r="T8" s="19" t="str">
        <x:v>Gmail thread IHG</x:v>
      </x:c>
      <x:c r="U8" s="19" t="str">
        <x:v>https://mail.google.com/mail/#all/19dd9a342e6e5ff2</x:v>
      </x:c>
      <x:c r="V8" s="19" t="str">
        <x:v>2026-05-12</x:v>
      </x:c>
      <x:c r="W8" s="19" t="str">
        <x:v>2026-04-29</x:v>
      </x:c>
    </x:row>
    <x:row r="9">
      <x:c r="A9" s="19" t="str">
        <x:v>CRM-0008</x:v>
      </x:c>
      <x:c r="B9" s="19" t="str">
        <x:v>2026-04-30</x:v>
      </x:c>
      <x:c r="C9" s="19" t="str">
        <x:v>Susana Santos</x:v>
      </x:c>
      <x:c r="D9" s="19" t="str">
        <x:v>Improve International</x:v>
      </x:c>
      <x:c r="E9" s="19" t="str">
        <x:v>susana.santos@improveinternational.com</x:v>
      </x:c>
      <x:c r="F9" s="19" t="str">
        <x:v>+351914739013</x:v>
      </x:c>
      <x:c r="G9" s="19" t="str">
        <x:v>Formulário site + Email</x:v>
      </x:c>
      <x:c r="H9" s="19" t="str">
        <x:v>Formulário site</x:v>
      </x:c>
      <x:c r="I9" s="19" t="str">
        <x:v>Escritório / Corporativo</x:v>
      </x:c>
      <x:c r="J9" s="19" t="str">
        <x:v>Porto</x:v>
      </x:c>
      <x:c r="K9" s="19" t="str">
        <x:v>Escritório</x:v>
      </x:c>
      <x:c r="L9" s="19" t="str">
        <x:v>Pedido de limpeza profissional para escritório.</x:v>
      </x:c>
      <x:c r="M9" s="19" t="str">
        <x:v>Proposta / orçamento enviado</x:v>
      </x:c>
      <x:c r="N9" s="19" t="str">
        <x:v>Proposta enviada</x:v>
      </x:c>
      <x:c r="O9" s="19" t="str">
        <x:v>Limpeza 2x por semana em escritório; apresentação enviada.</x:v>
      </x:c>
      <x:c r="P9" s="19" t="str">
        <x:v>Não</x:v>
      </x:c>
      <x:c r="Q9" s="19" t="str">
        <x:v>Recorrente / potencial recorrente</x:v>
      </x:c>
      <x:c r="R9" s="19" t="str">
        <x:v>Pedido recebido pelo site. Purion enviou proposta/apresentação e depois follow-up sobre análise da proposta.</x:v>
      </x:c>
      <x:c r="S9" s="19" t="str">
        <x:v>Fazer follow-up comercial e atualizar resposta do cliente.</x:v>
      </x:c>
      <x:c r="T9" s="19" t="str">
        <x:v>Gmail</x:v>
      </x:c>
      <x:c r="U9" s="19" t="str">
        <x:v>https://mail.google.com/mail/#all/19dddff96382b5ff</x:v>
      </x:c>
      <x:c r="V9" s="19" t="str">
        <x:v>2026-05-12</x:v>
      </x:c>
      <x:c r="W9" s="19" t="str">
        <x:v>2026-04-30</x:v>
      </x:c>
    </x:row>
    <x:row r="10">
      <x:c r="A10" s="19" t="str">
        <x:v>CRM-0009</x:v>
      </x:c>
      <x:c r="B10" s="19" t="str">
        <x:v>2026-04-30</x:v>
      </x:c>
      <x:c r="C10" s="19" t="str">
        <x:v>Maria Armênia Vilas Boas</x:v>
      </x:c>
      <x:c r="D10" s="19" t="str"/>
      <x:c r="E10" s="19" t="str">
        <x:v>mariaarmenia@gmail.com</x:v>
      </x:c>
      <x:c r="F10" s="19" t="str">
        <x:v>919271758</x:v>
      </x:c>
      <x:c r="G10" s="19" t="str">
        <x:v>Formulário site + Email</x:v>
      </x:c>
      <x:c r="H10" s="19" t="str">
        <x:v>Formulário site</x:v>
      </x:c>
      <x:c r="I10" s="19" t="str">
        <x:v>Alojamento Local</x:v>
      </x:c>
      <x:c r="J10" s="19" t="str">
        <x:v>A definir</x:v>
      </x:c>
      <x:c r="K10" s="19" t="str">
        <x:v>A definir</x:v>
      </x:c>
      <x:c r="L10" s="19" t="str">
        <x:v>Pedido de apresentação e preços de AL.</x:v>
      </x:c>
      <x:c r="M10" s="19" t="str">
        <x:v>Proposta / orçamento enviado</x:v>
      </x:c>
      <x:c r="N10" s="19" t="str">
        <x:v>Preçário enviado</x:v>
      </x:c>
      <x:c r="O10" s="19" t="str">
        <x:v>Apresentação, preços AL e lavagem a seco enviados.</x:v>
      </x:c>
      <x:c r="P10" s="19" t="str">
        <x:v>Não</x:v>
      </x:c>
      <x:c r="Q10" s="19" t="str">
        <x:v>Recorrente / potencial recorrente</x:v>
      </x:c>
      <x:c r="R10" s="19" t="str">
        <x:v>Pedido recebido pelo site. Purion enviou apresentação/preçário e depois follow-up.</x:v>
      </x:c>
      <x:c r="S10" s="19" t="str">
        <x:v>Fazer follow-up comercial e atualizar resposta do cliente.</x:v>
      </x:c>
      <x:c r="T10" s="19" t="str">
        <x:v>Gmail</x:v>
      </x:c>
      <x:c r="U10" s="19" t="str">
        <x:v>https://mail.google.com/mail/#all/19ddd6f761c97510</x:v>
      </x:c>
      <x:c r="V10" s="19" t="str">
        <x:v>2026-05-12</x:v>
      </x:c>
      <x:c r="W10" s="19" t="str">
        <x:v>2026-04-30</x:v>
      </x:c>
    </x:row>
    <x:row r="11">
      <x:c r="A11" s="19" t="str">
        <x:v>CRM-0010</x:v>
      </x:c>
      <x:c r="B11" s="19" t="str">
        <x:v>2026-04-30</x:v>
      </x:c>
      <x:c r="C11" s="19" t="str">
        <x:v>Vinciane Arlen</x:v>
      </x:c>
      <x:c r="D11" s="19" t="str"/>
      <x:c r="E11" s="19" t="str">
        <x:v>vincianearlen@gmail.com</x:v>
      </x:c>
      <x:c r="F11" s="19" t="str"/>
      <x:c r="G11" s="19" t="str">
        <x:v>Email</x:v>
      </x:c>
      <x:c r="H11" s="19" t="str">
        <x:v>Email</x:v>
      </x:c>
      <x:c r="I11" s="19" t="str">
        <x:v>Alojamento Local</x:v>
      </x:c>
      <x:c r="J11" s="19" t="str">
        <x:v>Baixa do Porto</x:v>
      </x:c>
      <x:c r="K11" s="19" t="str">
        <x:v>Prédio com 5 apartamentos</x:v>
      </x:c>
      <x:c r="L11" s="19" t="str">
        <x:v>Procura empresa de limpeza para AL e operação recorrente.</x:v>
      </x:c>
      <x:c r="M11" s="19" t="str">
        <x:v>Proposta / orçamento enviado</x:v>
      </x:c>
      <x:c r="N11" s="19" t="str">
        <x:v>Preçário enviado</x:v>
      </x:c>
      <x:c r="O11" s="19" t="str">
        <x:v>Apresentação EN, preçário AL/lavagem a seco EN enviados.</x:v>
      </x:c>
      <x:c r="P11" s="19" t="str">
        <x:v>Não</x:v>
      </x:c>
      <x:c r="Q11" s="19" t="str">
        <x:v>Recorrente / potencial recorrente</x:v>
      </x:c>
      <x:c r="R11" s="19" t="str">
        <x:v>Cliente informou que tem prédio na Baixa do Porto com 5 apartamentos em AL. Purion respondeu em inglês com apresentação e preçários e enviou follow-up.</x:v>
      </x:c>
      <x:c r="S11" s="19" t="str">
        <x:v>Fazer follow-up comercial e atualizar resposta do cliente.</x:v>
      </x:c>
      <x:c r="T11" s="19" t="str">
        <x:v>Gmail</x:v>
      </x:c>
      <x:c r="U11" s="19" t="str">
        <x:v>https://mail.google.com/mail/#all/19ddd0ae74d5a04a</x:v>
      </x:c>
      <x:c r="V11" s="19" t="str">
        <x:v>2026-05-12</x:v>
      </x:c>
      <x:c r="W11" s="19" t="str">
        <x:v>2026-04-30</x:v>
      </x:c>
    </x:row>
    <x:row r="12">
      <x:c r="A12" s="19" t="str">
        <x:v>CRM-0011</x:v>
      </x:c>
      <x:c r="B12" s="19" t="str">
        <x:v>2026-04-29</x:v>
      </x:c>
      <x:c r="C12" s="19" t="str">
        <x:v>Sofia Lobato / Pedro Lobato</x:v>
      </x:c>
      <x:c r="D12" s="19" t="str">
        <x:v>Porto Haven</x:v>
      </x:c>
      <x:c r="E12" s="19" t="str">
        <x:v>customercare@portohaven.com; pedro.lobato@portohaven.com</x:v>
      </x:c>
      <x:c r="F12" s="19" t="str">
        <x:v>+351 910109294</x:v>
      </x:c>
      <x:c r="G12" s="19" t="str">
        <x:v>Email</x:v>
      </x:c>
      <x:c r="H12" s="19" t="str">
        <x:v>Email</x:v>
      </x:c>
      <x:c r="I12" s="19" t="str">
        <x:v>Alojamento Local + Lavandaria</x:v>
      </x:c>
      <x:c r="J12" s="19" t="str">
        <x:v>Centro Histórico do Porto</x:v>
      </x:c>
      <x:c r="K12" s="19" t="str">
        <x:v>5 ALs</x:v>
      </x:c>
      <x:c r="L12" s="19" t="str">
        <x:v>Serviços de limpeza e lavandaria para 5 ALs, arranque previsto 18/05.</x:v>
      </x:c>
      <x:c r="M12" s="19" t="str">
        <x:v>Negociação / contrato</x:v>
      </x:c>
      <x:c r="N12" s="19" t="str">
        <x:v>Contrato/minuta em análise / reunião agendada</x:v>
      </x:c>
      <x:c r="O12" s="19" t="str">
        <x:v>T1 32€/35€; T2 42€; T3 negociado 55€+IVA; amenities acordados.</x:v>
      </x:c>
      <x:c r="P12" s="19" t="str">
        <x:v>Não</x:v>
      </x:c>
      <x:c r="Q12" s="19" t="str">
        <x:v>Recorrente / potencial recorrente</x:v>
      </x:c>
      <x:c r="R12" s="19" t="str">
        <x:v>Negociação de preços, amenities, Natal/Ano Novo, lavandaria e contrato. Cliente pediu contacto telefónico. Utilizador informou reunião presencial agendada para quarta.</x:v>
      </x:c>
      <x:c r="S12" s="19" t="str">
        <x:v>Acompanhar decisão, contrato e condições finais.</x:v>
      </x:c>
      <x:c r="T12" s="19" t="str">
        <x:v>Gmail thread Porto Haven</x:v>
      </x:c>
      <x:c r="U12" s="19" t="str">
        <x:v>https://mail.google.com/mail/#all/19dd9d9b7d55ae2d</x:v>
      </x:c>
      <x:c r="V12" s="19" t="str">
        <x:v>2026-05-13</x:v>
      </x:c>
      <x:c r="W12" s="19" t="str">
        <x:v>2026-04-29</x:v>
      </x:c>
    </x:row>
    <x:row r="13">
      <x:c r="A13" s="19" t="str">
        <x:v>CRM-0012</x:v>
      </x:c>
      <x:c r="B13" s="19" t="str">
        <x:v>2026-05-01</x:v>
      </x:c>
      <x:c r="C13" s="19" t="str">
        <x:v>Sónia Araújo / Victor Martins</x:v>
      </x:c>
      <x:c r="D13" s="19" t="str">
        <x:v>Sónia Araújo</x:v>
      </x:c>
      <x:c r="E13" s="19" t="str">
        <x:v>media@sonia-araujo.com</x:v>
      </x:c>
      <x:c r="F13" s="19" t="str"/>
      <x:c r="G13" s="19" t="str">
        <x:v>Email + WhatsApp</x:v>
      </x:c>
      <x:c r="H13" s="19" t="str">
        <x:v>WhatsApp</x:v>
      </x:c>
      <x:c r="I13" s="19" t="str">
        <x:v>Parceria / Higienização</x:v>
      </x:c>
      <x:c r="J13" s="19" t="str">
        <x:v>Valadares</x:v>
      </x:c>
      <x:c r="K13" s="19" t="str">
        <x:v>Moradia / Fase I</x:v>
      </x:c>
      <x:c r="L13" s="19" t="str">
        <x:v>Parceria para higienização de entrada e potencial comunicação.</x:v>
      </x:c>
      <x:c r="M13" s="19" t="str">
        <x:v>Novo lead / qualificação</x:v>
      </x:c>
      <x:c r="N13" s="19" t="str">
        <x:v>Contacto feito por WhatsApp</x:v>
      </x:c>
      <x:c r="O13" s="19" t="str">
        <x:v>Sem valor registado no Gmail.</x:v>
      </x:c>
      <x:c r="P13" s="19" t="str">
        <x:v>Não</x:v>
      </x:c>
      <x:c r="Q13" s="19" t="str">
        <x:v>A definir</x:v>
      </x:c>
      <x:c r="R13" s="19" t="str">
        <x:v>Representante contactou Purion para parceria. Purion respondeu e pediu clarificação. Houve alinhamento para reunião e contacto com Victor Martins; utilizador confirmou contacto por WhatsApp.</x:v>
      </x:c>
      <x:c r="S13" s="19" t="str">
        <x:v>Qualificar necessidade, recolher dados em falta e enviar proposta.</x:v>
      </x:c>
      <x:c r="T13" s="19" t="str">
        <x:v>Gmail + atualização utilizador</x:v>
      </x:c>
      <x:c r="U13" s="19" t="str">
        <x:v>https://mail.google.com/mail/#all/19de40468fed0b96</x:v>
      </x:c>
      <x:c r="V13" s="19" t="str">
        <x:v>2026-05-12</x:v>
      </x:c>
      <x:c r="W13" s="19" t="str">
        <x:v>2026-05-01</x:v>
      </x:c>
    </x:row>
    <x:row r="14">
      <x:c r="A14" s="19" t="str">
        <x:v>CRM-0013</x:v>
      </x:c>
      <x:c r="B14" s="19" t="str">
        <x:v>2026-05-06</x:v>
      </x:c>
      <x:c r="C14" s="19" t="str">
        <x:v>Ana Carvalho / Ana Silva</x:v>
      </x:c>
      <x:c r="D14" s="19" t="str"/>
      <x:c r="E14" s="19" t="str">
        <x:v>ana.pinto163@gmail.com</x:v>
      </x:c>
      <x:c r="F14" s="19" t="str">
        <x:v>933405183</x:v>
      </x:c>
      <x:c r="G14" s="19" t="str">
        <x:v>Formulário site + Email</x:v>
      </x:c>
      <x:c r="H14" s="19" t="str">
        <x:v>Formulário site</x:v>
      </x:c>
      <x:c r="I14" s="19" t="str">
        <x:v>Limpeza pós-obra</x:v>
      </x:c>
      <x:c r="J14" s="19" t="str">
        <x:v>Valbom, Gondomar</x:v>
      </x:c>
      <x:c r="K14" s="19" t="str">
        <x:v>Cozinha em 1º andar + sala/varanda</x:v>
      </x:c>
      <x:c r="L14" s="19" t="str">
        <x:v>Limpeza pós-obra de cozinha; limpeza de chão e porta da varanda da sala.</x:v>
      </x:c>
      <x:c r="M14" s="19" t="str">
        <x:v>Agendado / em operação</x:v>
      </x:c>
      <x:c r="N14" s="19" t="str">
        <x:v>Resolvido operacionalmente</x:v>
      </x:c>
      <x:c r="O14" s="19" t="str">
        <x:v>Valor não localizado no Gmail.</x:v>
      </x:c>
      <x:c r="P14" s="19" t="str">
        <x:v>Não</x:v>
      </x:c>
      <x:c r="Q14" s="19" t="str">
        <x:v>Pontual</x:v>
      </x:c>
      <x:c r="R14" s="19" t="str">
        <x:v>Cliente enviou pedido e fotos. Utilizador informou que o caso já estava resolvido no operacional.</x:v>
      </x:c>
      <x:c r="S14" s="19" t="str">
        <x:v>Confirmar execução, pagamento/faturação e feedback após o serviço.</x:v>
      </x:c>
      <x:c r="T14" s="19" t="str">
        <x:v>Gmail + atualização utilizador</x:v>
      </x:c>
      <x:c r="U14" s="19" t="str">
        <x:v>https://mail.google.com/mail/#all/19dfaafd2a7e87bc</x:v>
      </x:c>
      <x:c r="V14" s="19" t="str">
        <x:v>2026-05-13</x:v>
      </x:c>
      <x:c r="W14" s="19" t="str">
        <x:v>2026-05-06</x:v>
      </x:c>
    </x:row>
    <x:row r="15">
      <x:c r="A15" s="19" t="str">
        <x:v>CRM-0014</x:v>
      </x:c>
      <x:c r="B15" s="19" t="str">
        <x:v>2026-05-08</x:v>
      </x:c>
      <x:c r="C15" s="19" t="str">
        <x:v>Mariana Neves</x:v>
      </x:c>
      <x:c r="D15" s="19" t="str">
        <x:v>Oporto Accounting</x:v>
      </x:c>
      <x:c r="E15" s="19" t="str">
        <x:v>office@oportoaccounting.eu</x:v>
      </x:c>
      <x:c r="F15" s="19" t="str"/>
      <x:c r="G15" s="19" t="str">
        <x:v>Email</x:v>
      </x:c>
      <x:c r="H15" s="19" t="str">
        <x:v>Email</x:v>
      </x:c>
      <x:c r="I15" s="19" t="str">
        <x:v>Escritório / Limpeza profunda / Lavagem a seco</x:v>
      </x:c>
      <x:c r="J15" s="19" t="str">
        <x:v>Avenida da Boavista 1679, 6º Piso, Sala 6.1, Porto</x:v>
      </x:c>
      <x:c r="K15" s="19" t="str">
        <x:v>Escritório</x:v>
      </x:c>
      <x:c r="L15" s="19" t="str">
        <x:v>Limpeza profunda de escritório, vidros, janelas, alcatifa, armários e lavagem a seco.</x:v>
      </x:c>
      <x:c r="M15" s="19" t="str">
        <x:v>Proposta / orçamento enviado</x:v>
      </x:c>
      <x:c r="N15" s="19" t="str">
        <x:v>Proposta enviada</x:v>
      </x:c>
      <x:c r="O15" s="19" t="str">
        <x:v>Limpeza profunda 160€+IVA; 5h; 2 profissionais; materiais incluídos; sábado disponível.</x:v>
      </x:c>
      <x:c r="P15" s="19" t="str">
        <x:v>Não</x:v>
      </x:c>
      <x:c r="Q15" s="19" t="str">
        <x:v>Pontual</x:v>
      </x:c>
      <x:c r="R15" s="19" t="str">
        <x:v>Cliente pediu limpeza profunda. Purion agendou visita 11h30, realizou visita e enviou cotação e preçário de lavagem a seco.</x:v>
      </x:c>
      <x:c r="S15" s="19" t="str">
        <x:v>Fazer follow-up comercial e atualizar resposta do cliente.</x:v>
      </x:c>
      <x:c r="T15" s="19" t="str">
        <x:v>Gmail</x:v>
      </x:c>
      <x:c r="U15" s="19" t="str"/>
      <x:c r="V15" s="19" t="str">
        <x:v>2026-05-13</x:v>
      </x:c>
      <x:c r="W15" s="19" t="str">
        <x:v>2026-05-08</x:v>
      </x:c>
    </x:row>
    <x:row r="16">
      <x:c r="A16" s="19" t="str">
        <x:v>CRM-0015</x:v>
      </x:c>
      <x:c r="B16" s="19" t="str">
        <x:v>2026-04-28</x:v>
      </x:c>
      <x:c r="C16" s="19" t="str">
        <x:v>Rita Coutinho</x:v>
      </x:c>
      <x:c r="D16" s="19" t="str">
        <x:v>Dama de Copas</x:v>
      </x:c>
      <x:c r="E16" s="19" t="str">
        <x:v>logistica@damadecopas.pt</x:v>
      </x:c>
      <x:c r="F16" s="19" t="str"/>
      <x:c r="G16" s="19" t="str">
        <x:v>Email</x:v>
      </x:c>
      <x:c r="H16" s="19" t="str">
        <x:v>Email</x:v>
      </x:c>
      <x:c r="I16" s="19" t="str">
        <x:v>Loja / Montras</x:v>
      </x:c>
      <x:c r="J16" s="19" t="str">
        <x:v>Porto — Sá da Bandeira e Boavista</x:v>
      </x:c>
      <x:c r="K16" s="19" t="str">
        <x:v>2 lojas</x:v>
      </x:c>
      <x:c r="L16" s="19" t="str">
        <x:v>Pedido de limpeza semanal das lojas e limpeza de vidros/montras.</x:v>
      </x:c>
      <x:c r="M16" s="19" t="str">
        <x:v>Negociação / contrato</x:v>
      </x:c>
      <x:c r="N16" s="19" t="str">
        <x:v>Em análise pelo cliente</x:v>
      </x:c>
      <x:c r="O16" s="19" t="str">
        <x:v>Apresentação enviada; orçamento para limpeza das lojas e valores adicionais de montras.</x:v>
      </x:c>
      <x:c r="P16" s="19" t="str">
        <x:v>Não</x:v>
      </x:c>
      <x:c r="Q16" s="19" t="str">
        <x:v>Recorrente / potencial recorrente</x:v>
      </x:c>
      <x:c r="R16" s="19" t="str">
        <x:v>Cliente pediu orçamento para lojas. Purion enviou orçamento para limpeza das lojas da Sá da Bandeira e Boavista e valores adicionais para montras. Em 13/05/2026, Rita Coutinho respondeu que a gerência ainda se encontra a rever a proposta e que entrará em contacto quando tiver feedback.</x:v>
      </x:c>
      <x:c r="S16" s="19" t="str">
        <x:v>Acompanhar decisão, contrato e condições finais.</x:v>
      </x:c>
      <x:c r="T16" s="19" t="str">
        <x:v>Gmail</x:v>
      </x:c>
      <x:c r="U16" s="19" t="str">
        <x:v>https://mail.google.com/mail/#all/19dd3bf7a461ceb9</x:v>
      </x:c>
      <x:c r="V16" s="19" t="str">
        <x:v>2026-05-13</x:v>
      </x:c>
      <x:c r="W16" s="19" t="str">
        <x:v>2026-04-28</x:v>
      </x:c>
    </x:row>
    <x:row r="17">
      <x:c r="A17" s="19" t="str">
        <x:v>CRM-0016</x:v>
      </x:c>
      <x:c r="B17" s="19" t="str">
        <x:v>2026-04-28</x:v>
      </x:c>
      <x:c r="C17" s="19" t="str">
        <x:v>António D. Quintas Leite</x:v>
      </x:c>
      <x:c r="D17" s="19" t="str"/>
      <x:c r="E17" s="19" t="str">
        <x:v>antoniodqleite@gmail.com</x:v>
      </x:c>
      <x:c r="F17" s="19" t="str">
        <x:v>+351 963 730 482</x:v>
      </x:c>
      <x:c r="G17" s="19" t="str">
        <x:v>Instagram + Email</x:v>
      </x:c>
      <x:c r="H17" s="19" t="str">
        <x:v>Instagram</x:v>
      </x:c>
      <x:c r="I17" s="19" t="str">
        <x:v>Alojamento Local</x:v>
      </x:c>
      <x:c r="J17" s="19" t="str">
        <x:v>Porto</x:v>
      </x:c>
      <x:c r="K17" s="19" t="str">
        <x:v>A definir</x:v>
      </x:c>
      <x:c r="L17" s="19" t="str">
        <x:v>Solicitou tabela de preços para limpeza de AL no Porto.</x:v>
      </x:c>
      <x:c r="M17" s="19" t="str">
        <x:v>Proposta / orçamento enviado</x:v>
      </x:c>
      <x:c r="N17" s="19" t="str">
        <x:v>Preçário enviado</x:v>
      </x:c>
      <x:c r="O17" s="19" t="str">
        <x:v>Tabela/preçário AL enviado.</x:v>
      </x:c>
      <x:c r="P17" s="19" t="str">
        <x:v>Não</x:v>
      </x:c>
      <x:c r="Q17" s="19" t="str">
        <x:v>Recorrente / potencial recorrente</x:v>
      </x:c>
      <x:c r="R17" s="19" t="str">
        <x:v>Contacto iniciado no Instagram; cliente pediu tabela por email. Depois informou que colega Daniela entraria em contacto. Purion enviou follow-up.</x:v>
      </x:c>
      <x:c r="S17" s="19" t="str">
        <x:v>Fazer follow-up comercial e atualizar resposta do cliente.</x:v>
      </x:c>
      <x:c r="T17" s="19" t="str">
        <x:v>Gmail</x:v>
      </x:c>
      <x:c r="U17" s="19" t="str">
        <x:v>https://mail.google.com/mail/#all/19dcb849b8a308ea</x:v>
      </x:c>
      <x:c r="V17" s="19" t="str">
        <x:v>2026-05-12</x:v>
      </x:c>
      <x:c r="W17" s="19" t="str">
        <x:v>2026-04-28</x:v>
      </x:c>
    </x:row>
    <x:row r="18">
      <x:c r="A18" s="19" t="str">
        <x:v>CRM-0017</x:v>
      </x:c>
      <x:c r="B18" s="19" t="str">
        <x:v>2026-04-27</x:v>
      </x:c>
      <x:c r="C18" s="19" t="str">
        <x:v>Gabriela Oliveira</x:v>
      </x:c>
      <x:c r="D18" s="19" t="str"/>
      <x:c r="E18" s="19" t="str">
        <x:v>gabi55010x@gmail.com</x:v>
      </x:c>
      <x:c r="F18" s="19" t="str"/>
      <x:c r="G18" s="19" t="str">
        <x:v>Email</x:v>
      </x:c>
      <x:c r="H18" s="19" t="str">
        <x:v>Email</x:v>
      </x:c>
      <x:c r="I18" s="19" t="str">
        <x:v>Alojamento Local / Gestão de AL</x:v>
      </x:c>
      <x:c r="J18" s="19" t="str">
        <x:v>A definir</x:v>
      </x:c>
      <x:c r="K18" s="19" t="str">
        <x:v>Gestão de alojamentos locais</x:v>
      </x:c>
      <x:c r="L18" s="19" t="str">
        <x:v>Projeto de empresa focada na gestão de AL; pediu orçamento/apoio de limpeza.</x:v>
      </x:c>
      <x:c r="M18" s="19" t="str">
        <x:v>Proposta / orçamento enviado</x:v>
      </x:c>
      <x:c r="N18" s="19" t="str">
        <x:v>Preçário enviado</x:v>
      </x:c>
      <x:c r="O18" s="19" t="str">
        <x:v>Apresentação e preçário AL/lavagem a seco enviados.</x:v>
      </x:c>
      <x:c r="P18" s="19" t="str">
        <x:v>Não</x:v>
      </x:c>
      <x:c r="Q18" s="19" t="str">
        <x:v>Recorrente / potencial recorrente</x:v>
      </x:c>
      <x:c r="R18" s="19" t="str">
        <x:v>Cliente apresentou projeto de gestão de AL. Purion enviou apresentação e preçário e depois follow-up.</x:v>
      </x:c>
      <x:c r="S18" s="19" t="str">
        <x:v>Fazer follow-up comercial e atualizar resposta do cliente.</x:v>
      </x:c>
      <x:c r="T18" s="19" t="str">
        <x:v>Gmail</x:v>
      </x:c>
      <x:c r="U18" s="19" t="str">
        <x:v>https://mail.google.com/mail/#all/19dcf8d5c40b7178</x:v>
      </x:c>
      <x:c r="V18" s="19" t="str">
        <x:v>2026-05-07</x:v>
      </x:c>
      <x:c r="W18" s="19" t="str">
        <x:v>2026-04-27</x:v>
      </x:c>
    </x:row>
    <x:row r="19">
      <x:c r="A19" s="19" t="str">
        <x:v>CRM-0018</x:v>
      </x:c>
      <x:c r="B19" s="19" t="str">
        <x:v>2026-04-26</x:v>
      </x:c>
      <x:c r="C19" s="19" t="str">
        <x:v>Cristina</x:v>
      </x:c>
      <x:c r="D19" s="19" t="str"/>
      <x:c r="E19" s="19" t="str">
        <x:v>mc.oliveira.mota@gmail.com</x:v>
      </x:c>
      <x:c r="F19" s="19" t="str"/>
      <x:c r="G19" s="19" t="str">
        <x:v>Presencial + Email</x:v>
      </x:c>
      <x:c r="H19" s="19" t="str">
        <x:v>Presencial</x:v>
      </x:c>
      <x:c r="I19" s="19" t="str">
        <x:v>Alojamento Local</x:v>
      </x:c>
      <x:c r="J19" s="19" t="str">
        <x:v>Rua da Alegria 321 / A definir</x:v>
      </x:c>
      <x:c r="K19" s="19" t="str">
        <x:v>A definir</x:v>
      </x:c>
      <x:c r="L19" s="19" t="str">
        <x:v>Contacto feito no escritório Purion para limpeza de alojamento local.</x:v>
      </x:c>
      <x:c r="M19" s="19" t="str">
        <x:v>Proposta / orçamento enviado</x:v>
      </x:c>
      <x:c r="N19" s="19" t="str">
        <x:v>Preçário enviado</x:v>
      </x:c>
      <x:c r="O19" s="19" t="str">
        <x:v>Preçário AL e apresentação enviados.</x:v>
      </x:c>
      <x:c r="P19" s="19" t="str">
        <x:v>Não</x:v>
      </x:c>
      <x:c r="Q19" s="19" t="str">
        <x:v>Recorrente / potencial recorrente</x:v>
      </x:c>
      <x:c r="R19" s="19" t="str">
        <x:v>Purion enviou preçário após conversa presencial no escritório. Follow-up enviado posteriormente.</x:v>
      </x:c>
      <x:c r="S19" s="19" t="str">
        <x:v>Fazer follow-up comercial e atualizar resposta do cliente.</x:v>
      </x:c>
      <x:c r="T19" s="19" t="str">
        <x:v>Gmail</x:v>
      </x:c>
      <x:c r="U19" s="19" t="str">
        <x:v>https://mail.google.com/mail/#all/19daba135be33f26</x:v>
      </x:c>
      <x:c r="V19" s="19" t="str">
        <x:v>2026-05-12</x:v>
      </x:c>
      <x:c r="W19" s="19" t="str">
        <x:v>2026-04-26</x:v>
      </x:c>
    </x:row>
    <x:row r="20">
      <x:c r="A20" s="19" t="str">
        <x:v>CRM-0019</x:v>
      </x:c>
      <x:c r="B20" s="19" t="str">
        <x:v>2026-04-24</x:v>
      </x:c>
      <x:c r="C20" s="19" t="str">
        <x:v>Euskalduna / Cristina Leal</x:v>
      </x:c>
      <x:c r="D20" s="19" t="str">
        <x:v>Euskalduna</x:v>
      </x:c>
      <x:c r="E20" s="19" t="str">
        <x:v>financeiro@euskalduna.pt; rh@euskalduna.pt</x:v>
      </x:c>
      <x:c r="F20" s="19" t="str"/>
      <x:c r="G20" s="19" t="str">
        <x:v>Email</x:v>
      </x:c>
      <x:c r="H20" s="19" t="str">
        <x:v>Email</x:v>
      </x:c>
      <x:c r="I20" s="19" t="str">
        <x:v>Limpezas corporativas recorrentes</x:v>
      </x:c>
      <x:c r="J20" s="19" t="str">
        <x:v>Porto</x:v>
      </x:c>
      <x:c r="K20" s="19" t="str">
        <x:v>Restaurante, escritório e padaria</x:v>
      </x:c>
      <x:c r="L20" s="19" t="str">
        <x:v>Limpezas realizadas no grupo.</x:v>
      </x:c>
      <x:c r="M20" s="19" t="str">
        <x:v>Faturado / pago</x:v>
      </x:c>
      <x:c r="N20" s="19" t="str">
        <x:v>Faturado</x:v>
      </x:c>
      <x:c r="O20" s="19" t="str">
        <x:v>Fatura Abril 2026 FT_2026_105.pdf enviada.</x:v>
      </x:c>
      <x:c r="P20" s="19" t="str">
        <x:v>Sim</x:v>
      </x:c>
      <x:c r="Q20" s="19" t="str">
        <x:v>Recorrente / potencial recorrente</x:v>
      </x:c>
      <x:c r="R20" s="19" t="str">
        <x:v>Purion enviou fatura das limpezas realizadas no restaurante, escritório e padaria. Cliente indicou que fatura estava para pagamento.</x:v>
      </x:c>
      <x:c r="S20" s="19" t="str">
        <x:v>Registo concluído; manter histórico e eventual feedback/recorrência.</x:v>
      </x:c>
      <x:c r="T20" s="19" t="str">
        <x:v>Gmail</x:v>
      </x:c>
      <x:c r="U20" s="19" t="str">
        <x:v>https://mail.google.com/mail/#all/19dbff230afba81c</x:v>
      </x:c>
      <x:c r="V20" s="19" t="str">
        <x:v>2026-05-12</x:v>
      </x:c>
      <x:c r="W20" s="19" t="str">
        <x:v>2026-04-24</x:v>
      </x:c>
    </x:row>
    <x:row r="21">
      <x:c r="A21" s="19" t="str">
        <x:v>CRM-0020</x:v>
      </x:c>
      <x:c r="B21" s="19" t="str">
        <x:v>2026-04-17</x:v>
      </x:c>
      <x:c r="C21" s="19" t="str">
        <x:v>Euskalduna / Contas Cósmicas</x:v>
      </x:c>
      <x:c r="D21" s="19" t="str">
        <x:v>Contas Cósmicas Lda</x:v>
      </x:c>
      <x:c r="E21" s="19" t="str">
        <x:v>financeiro@euskalduna.pt</x:v>
      </x:c>
      <x:c r="F21" s="19" t="str">
        <x:v>NIF 517111900</x:v>
      </x:c>
      <x:c r="G21" s="19" t="str">
        <x:v>Email</x:v>
      </x:c>
      <x:c r="H21" s="19" t="str">
        <x:v>Email</x:v>
      </x:c>
      <x:c r="I21" s="19" t="str">
        <x:v>Limpeza de vidros/passeio</x:v>
      </x:c>
      <x:c r="J21" s="19" t="str">
        <x:v>Rua Santo Ildefonso 412, Porto</x:v>
      </x:c>
      <x:c r="K21" s="19" t="str">
        <x:v>Armazém / montra</x:v>
      </x:c>
      <x:c r="L21" s="19" t="str">
        <x:v>Limpeza de vidros e passeio com periodicidade mensal.</x:v>
      </x:c>
      <x:c r="M21" s="19" t="str">
        <x:v>Agendado / em operação</x:v>
      </x:c>
      <x:c r="N21" s="19" t="str">
        <x:v>Agendado</x:v>
      </x:c>
      <x:c r="O21" s="19" t="str">
        <x:v>30€ + IVA; periodicidade mensal.</x:v>
      </x:c>
      <x:c r="P21" s="19" t="str">
        <x:v>Não</x:v>
      </x:c>
      <x:c r="Q21" s="19" t="str">
        <x:v>Recorrente / potencial recorrente</x:v>
      </x:c>
      <x:c r="R21" s="19" t="str">
        <x:v>Cliente pediu associar novo serviço à Contas Cósmicas. Purion confirmou condições e utilizador indicou que já estava agendado.</x:v>
      </x:c>
      <x:c r="S21" s="19" t="str">
        <x:v>Confirmar execução, pagamento/faturação e feedback após o serviço.</x:v>
      </x:c>
      <x:c r="T21" s="19" t="str">
        <x:v>Gmail</x:v>
      </x:c>
      <x:c r="U21" s="19" t="str">
        <x:v>https://mail.google.com/mail/#all/19d9ab22e901552a</x:v>
      </x:c>
      <x:c r="V21" s="19" t="str">
        <x:v>2026-05-12</x:v>
      </x:c>
      <x:c r="W21" s="19" t="str">
        <x:v>2026-04-17</x:v>
      </x:c>
    </x:row>
    <x:row r="22">
      <x:c r="A22" s="19" t="str">
        <x:v>CRM-0021</x:v>
      </x:c>
      <x:c r="B22" s="19" t="str">
        <x:v>2026-04-23</x:v>
      </x:c>
      <x:c r="C22" s="19" t="str">
        <x:v>Pedro Viana</x:v>
      </x:c>
      <x:c r="D22" s="19" t="str">
        <x:v>Working Place Central</x:v>
      </x:c>
      <x:c r="E22" s="19" t="str">
        <x:v>workingplacecentral@gmail.com</x:v>
      </x:c>
      <x:c r="F22" s="19" t="str"/>
      <x:c r="G22" s="19" t="str">
        <x:v>Email</x:v>
      </x:c>
      <x:c r="H22" s="19" t="str">
        <x:v>Email</x:v>
      </x:c>
      <x:c r="I22" s="19" t="str">
        <x:v>Alojamento Local / Serviços prestados</x:v>
      </x:c>
      <x:c r="J22" s="19" t="str">
        <x:v>Rua António Granjo 105, Porto</x:v>
      </x:c>
      <x:c r="K22" s="19" t="str">
        <x:v>Prédio com 3 apartamentos</x:v>
      </x:c>
      <x:c r="L22" s="19" t="str">
        <x:v>Reunião em prédio para mostrar logística; serviços prestados posteriormente.</x:v>
      </x:c>
      <x:c r="M22" s="19" t="str">
        <x:v>Faturado / pago</x:v>
      </x:c>
      <x:c r="N22" s="19" t="str">
        <x:v>Faturado</x:v>
      </x:c>
      <x:c r="O22" s="19" t="str">
        <x:v>Fatura FT_2026_97.pdf enviada.</x:v>
      </x:c>
      <x:c r="P22" s="19" t="str">
        <x:v>Sim</x:v>
      </x:c>
      <x:c r="Q22" s="19" t="str">
        <x:v>Recorrente / potencial recorrente</x:v>
      </x:c>
      <x:c r="R22" s="19" t="str">
        <x:v>Cliente marcou reunião no prédio com 3 apartamentos. Depois Purion enviou fatura correspondente a serviços prestados.</x:v>
      </x:c>
      <x:c r="S22" s="19" t="str">
        <x:v>Registo concluído; manter histórico e eventual feedback/recorrência.</x:v>
      </x:c>
      <x:c r="T22" s="19" t="str">
        <x:v>Gmail</x:v>
      </x:c>
      <x:c r="U22" s="19" t="str">
        <x:v>https://mail.google.com/mail/#all/19db570ed68a7c07</x:v>
      </x:c>
      <x:c r="V22" s="19" t="str">
        <x:v>2026-04-22</x:v>
      </x:c>
      <x:c r="W22" s="19" t="str">
        <x:v>2026-04-23</x:v>
      </x:c>
    </x:row>
    <x:row r="23">
      <x:c r="A23" s="19" t="str">
        <x:v>CRM-0022</x:v>
      </x:c>
      <x:c r="B23" s="19" t="str">
        <x:v>2026-04-23</x:v>
      </x:c>
      <x:c r="C23" s="19" t="str">
        <x:v>Catarina Brandão</x:v>
      </x:c>
      <x:c r="D23" s="19" t="str">
        <x:v>AdC Advogados</x:v>
      </x:c>
      <x:c r="E23" s="19" t="str">
        <x:v>atendimento2@adcadvogados.pt</x:v>
      </x:c>
      <x:c r="F23" s="19" t="str">
        <x:v>+351 225 105 613</x:v>
      </x:c>
      <x:c r="G23" s="19" t="str">
        <x:v>Email</x:v>
      </x:c>
      <x:c r="H23" s="19" t="str">
        <x:v>Email</x:v>
      </x:c>
      <x:c r="I23" s="19" t="str">
        <x:v>Limpeza pós-obra e manutenção regular</x:v>
      </x:c>
      <x:c r="J23" s="19" t="str">
        <x:v>Rua Oliveira Martins 63, 4200-429 Porto</x:v>
      </x:c>
      <x:c r="K23" s="19" t="str">
        <x:v>Escritório de advocacia</x:v>
      </x:c>
      <x:c r="L23" s="19" t="str">
        <x:v>Pedido de orçamento para pós-obra e manutenção regular.</x:v>
      </x:c>
      <x:c r="M23" s="19" t="str">
        <x:v>Proposta / orçamento enviado</x:v>
      </x:c>
      <x:c r="N23" s="19" t="str">
        <x:v>Cotação enviada</x:v>
      </x:c>
      <x:c r="O23" s="19" t="str">
        <x:v>Cotação Escritório de Advocacia + preços lavagem enviados.</x:v>
      </x:c>
      <x:c r="P23" s="19" t="str">
        <x:v>Não</x:v>
      </x:c>
      <x:c r="Q23" s="19" t="str">
        <x:v>Pontual</x:v>
      </x:c>
      <x:c r="R23" s="19" t="str">
        <x:v>Cliente confirmou horário e morada. Purion enviou cotações em anexo.</x:v>
      </x:c>
      <x:c r="S23" s="19" t="str">
        <x:v>Fazer follow-up comercial e atualizar resposta do cliente.</x:v>
      </x:c>
      <x:c r="T23" s="19" t="str">
        <x:v>Gmail</x:v>
      </x:c>
      <x:c r="U23" s="19" t="str">
        <x:v>https://mail.google.com/mail/#all/19dbb9b4d3b30d7e</x:v>
      </x:c>
      <x:c r="V23" s="19" t="str">
        <x:v>2026-04-23</x:v>
      </x:c>
      <x:c r="W23" s="19" t="str">
        <x:v>2026-04-23</x:v>
      </x:c>
    </x:row>
    <x:row r="24">
      <x:c r="A24" s="19" t="str">
        <x:v>CRM-0023</x:v>
      </x:c>
      <x:c r="B24" s="19" t="str">
        <x:v>2026-04-21</x:v>
      </x:c>
      <x:c r="C24" s="19" t="str">
        <x:v>Joana Costa Monteiro</x:v>
      </x:c>
      <x:c r="D24" s="19" t="str"/>
      <x:c r="E24" s="19" t="str">
        <x:v>joana.costa.monteiro@gmail.com</x:v>
      </x:c>
      <x:c r="F24" s="19" t="str">
        <x:v>910102191</x:v>
      </x:c>
      <x:c r="G24" s="19" t="str">
        <x:v>Formulário site + Email</x:v>
      </x:c>
      <x:c r="H24" s="19" t="str">
        <x:v>Formulário site</x:v>
      </x:c>
      <x:c r="I24" s="19" t="str">
        <x:v>Pós-obra</x:v>
      </x:c>
      <x:c r="J24" s="19" t="str">
        <x:v>A definir</x:v>
      </x:c>
      <x:c r="K24" s="19" t="str">
        <x:v>A definir</x:v>
      </x:c>
      <x:c r="L24" s="19" t="str">
        <x:v>Pedido de limpeza pós-obra.</x:v>
      </x:c>
      <x:c r="M24" s="19" t="str">
        <x:v>Proposta / orçamento enviado</x:v>
      </x:c>
      <x:c r="N24" s="19" t="str">
        <x:v>Cotação enviada</x:v>
      </x:c>
      <x:c r="O24" s="19" t="str">
        <x:v>Cotação Sra. Joana - Pós Obras enviada.</x:v>
      </x:c>
      <x:c r="P24" s="19" t="str">
        <x:v>Não</x:v>
      </x:c>
      <x:c r="Q24" s="19" t="str">
        <x:v>Pontual</x:v>
      </x:c>
      <x:c r="R24" s="19" t="str">
        <x:v>Pedido recebido por formulário. Purion enviou cotação pós-obras.</x:v>
      </x:c>
      <x:c r="S24" s="19" t="str">
        <x:v>Fazer follow-up comercial e atualizar resposta do cliente.</x:v>
      </x:c>
      <x:c r="T24" s="19" t="str">
        <x:v>Gmail</x:v>
      </x:c>
      <x:c r="U24" s="19" t="str">
        <x:v>https://mail.google.com/mail/#all/19db1c7a876898ea</x:v>
      </x:c>
      <x:c r="V24" s="19" t="str">
        <x:v>2026-04-22</x:v>
      </x:c>
      <x:c r="W24" s="19" t="str">
        <x:v>2026-04-21</x:v>
      </x:c>
    </x:row>
    <x:row r="25">
      <x:c r="A25" s="19" t="str">
        <x:v>CRM-0024</x:v>
      </x:c>
      <x:c r="B25" s="19" t="str">
        <x:v>2026-04-21</x:v>
      </x:c>
      <x:c r="C25" s="19" t="str">
        <x:v>Anita</x:v>
      </x:c>
      <x:c r="D25" s="19" t="str">
        <x:v>G2T</x:v>
      </x:c>
      <x:c r="E25" s="19" t="str">
        <x:v>g2t@g2t.pt</x:v>
      </x:c>
      <x:c r="F25" s="19" t="str">
        <x:v>913717557</x:v>
      </x:c>
      <x:c r="G25" s="19" t="str">
        <x:v>Formulário site + Email</x:v>
      </x:c>
      <x:c r="H25" s="19" t="str">
        <x:v>Formulário site</x:v>
      </x:c>
      <x:c r="I25" s="19" t="str">
        <x:v>Alojamento Local</x:v>
      </x:c>
      <x:c r="J25" s="19" t="str">
        <x:v>A definir</x:v>
      </x:c>
      <x:c r="K25" s="19" t="str">
        <x:v>A definir</x:v>
      </x:c>
      <x:c r="L25" s="19" t="str">
        <x:v>Pedido de informações para AL.</x:v>
      </x:c>
      <x:c r="M25" s="19" t="str">
        <x:v>Proposta / orçamento enviado</x:v>
      </x:c>
      <x:c r="N25" s="19" t="str">
        <x:v>Preçário enviado</x:v>
      </x:c>
      <x:c r="O25" s="19" t="str">
        <x:v>Apresentação, preços AL e lavagem a seco enviados.</x:v>
      </x:c>
      <x:c r="P25" s="19" t="str">
        <x:v>Não</x:v>
      </x:c>
      <x:c r="Q25" s="19" t="str">
        <x:v>Recorrente / potencial recorrente</x:v>
      </x:c>
      <x:c r="R25" s="19" t="str">
        <x:v>Pedido recebido por formulário. Purion enviou anexos de apresentação e preçários.</x:v>
      </x:c>
      <x:c r="S25" s="19" t="str">
        <x:v>Fazer follow-up comercial e atualizar resposta do cliente.</x:v>
      </x:c>
      <x:c r="T25" s="19" t="str">
        <x:v>Gmail</x:v>
      </x:c>
      <x:c r="U25" s="19" t="str">
        <x:v>https://mail.google.com/mail/#all/19db08361e89ef07</x:v>
      </x:c>
      <x:c r="V25" s="19" t="str">
        <x:v>2026-04-21</x:v>
      </x:c>
      <x:c r="W25" s="19" t="str">
        <x:v>2026-04-21</x:v>
      </x:c>
    </x:row>
    <x:row r="26">
      <x:c r="A26" s="19" t="str">
        <x:v>CRM-0025</x:v>
      </x:c>
      <x:c r="B26" s="19" t="str">
        <x:v>2026-04-20</x:v>
      </x:c>
      <x:c r="C26" s="19" t="str">
        <x:v>Cláudia Falley</x:v>
      </x:c>
      <x:c r="D26" s="19" t="str">
        <x:v>Falley &amp; Altavilla Lda</x:v>
      </x:c>
      <x:c r="E26" s="19" t="str">
        <x:v>claudia.falley@gmail.com / falley.altavilla@gmail.com</x:v>
      </x:c>
      <x:c r="F26" s="19" t="str">
        <x:v>+351 910174876</x:v>
      </x:c>
      <x:c r="G26" s="19" t="str">
        <x:v>Email</x:v>
      </x:c>
      <x:c r="H26" s="19" t="str">
        <x:v>Email</x:v>
      </x:c>
      <x:c r="I26" s="19" t="str">
        <x:v>Hotelaria boutique / Alojamento Local</x:v>
      </x:c>
      <x:c r="J26" s="19" t="str">
        <x:v>A definir</x:v>
      </x:c>
      <x:c r="K26" s="19" t="str">
        <x:v>A definir</x:v>
      </x:c>
      <x:c r="L26" s="19" t="str">
        <x:v>Solicitou informações de serviços Purion.</x:v>
      </x:c>
      <x:c r="M26" s="19" t="str">
        <x:v>Contactado / informação enviada</x:v>
      </x:c>
      <x:c r="N26" s="19" t="str">
        <x:v>Informação enviada</x:v>
      </x:c>
      <x:c r="O26" s="19" t="str">
        <x:v>Apresentação, lavagem a seco e preços AL enviados.</x:v>
      </x:c>
      <x:c r="P26" s="19" t="str">
        <x:v>Não</x:v>
      </x:c>
      <x:c r="Q26" s="19" t="str">
        <x:v>Recorrente / potencial recorrente</x:v>
      </x:c>
      <x:c r="R26" s="19" t="str">
        <x:v>Purion enviou informações e anexos. Cliente respondeu que iria analisar, fazer contas e combinar visita.</x:v>
      </x:c>
      <x:c r="S26" s="19" t="str">
        <x:v>Atualizar próximo passo conforme resposta do cliente.</x:v>
      </x:c>
      <x:c r="T26" s="19" t="str">
        <x:v>Gmail</x:v>
      </x:c>
      <x:c r="U26" s="19" t="str">
        <x:v>https://mail.google.com/mail/#all/19dabb2f110d6514</x:v>
      </x:c>
      <x:c r="V26" s="19" t="str">
        <x:v>2026-04-20</x:v>
      </x:c>
      <x:c r="W26" s="19" t="str">
        <x:v>2026-04-20</x:v>
      </x:c>
    </x:row>
    <x:row r="27">
      <x:c r="A27" s="19" t="str">
        <x:v>CRM-0026</x:v>
      </x:c>
      <x:c r="B27" s="19" t="str">
        <x:v>2026-04-20</x:v>
      </x:c>
      <x:c r="C27" s="19" t="str">
        <x:v>Cristina</x:v>
      </x:c>
      <x:c r="D27" s="19" t="str"/>
      <x:c r="E27" s="19" t="str">
        <x:v>mc.oliveira.mota@gmail.com</x:v>
      </x:c>
      <x:c r="F27" s="19" t="str"/>
      <x:c r="G27" s="19" t="str">
        <x:v>Email</x:v>
      </x:c>
      <x:c r="H27" s="19" t="str">
        <x:v>Email</x:v>
      </x:c>
      <x:c r="I27" s="19" t="str">
        <x:v>Alojamento Local</x:v>
      </x:c>
      <x:c r="J27" s="19" t="str">
        <x:v>A definir</x:v>
      </x:c>
      <x:c r="K27" s="19" t="str">
        <x:v>A definir</x:v>
      </x:c>
      <x:c r="L27" s="19" t="str">
        <x:v>Limpezas de AL após conversa presencial no escritório.</x:v>
      </x:c>
      <x:c r="M27" s="19" t="str">
        <x:v>Proposta / orçamento enviado</x:v>
      </x:c>
      <x:c r="N27" s="19" t="str">
        <x:v>Preçário enviado</x:v>
      </x:c>
      <x:c r="O27" s="19" t="str">
        <x:v>Preços AL e apresentação.</x:v>
      </x:c>
      <x:c r="P27" s="19" t="str">
        <x:v>Não</x:v>
      </x:c>
      <x:c r="Q27" s="19" t="str">
        <x:v>Recorrente / potencial recorrente</x:v>
      </x:c>
      <x:c r="R27" s="19" t="str">
        <x:v>Registo separado mantido por email específico com erro no assunto “Puion”.</x:v>
      </x:c>
      <x:c r="S27" s="19" t="str">
        <x:v>Fazer follow-up comercial e atualizar resposta do cliente.</x:v>
      </x:c>
      <x:c r="T27" s="19" t="str">
        <x:v>Gmail</x:v>
      </x:c>
      <x:c r="U27" s="19" t="str">
        <x:v>https://mail.google.com/mail/#all/19daba135be33f26</x:v>
      </x:c>
      <x:c r="V27" s="19" t="str">
        <x:v>2026-04-20</x:v>
      </x:c>
      <x:c r="W27" s="19" t="str">
        <x:v>2026-04-20</x:v>
      </x:c>
    </x:row>
    <x:row r="28">
      <x:c r="A28" s="19" t="str">
        <x:v>CRM-0027</x:v>
      </x:c>
      <x:c r="B28" s="19" t="str">
        <x:v>2026-04-16</x:v>
      </x:c>
      <x:c r="C28" s="19" t="str">
        <x:v>Jenelle Gallagher</x:v>
      </x:c>
      <x:c r="D28" s="19" t="str"/>
      <x:c r="E28" s="19" t="str">
        <x:v>jenelle@livekindred.com</x:v>
      </x:c>
      <x:c r="F28" s="19" t="str">
        <x:v>+447883307772</x:v>
      </x:c>
      <x:c r="G28" s="19" t="str">
        <x:v>Formulário site + Email</x:v>
      </x:c>
      <x:c r="H28" s="19" t="str">
        <x:v>Formulário site</x:v>
      </x:c>
      <x:c r="I28" s="19" t="str">
        <x:v>A definir</x:v>
      </x:c>
      <x:c r="J28" s="19" t="str">
        <x:v>A definir</x:v>
      </x:c>
      <x:c r="K28" s="19" t="str">
        <x:v>A definir</x:v>
      </x:c>
      <x:c r="L28" s="19" t="str">
        <x:v>Pedido de orçamento; Purion pediu mais informação sobre localização e tipo de imóvel.</x:v>
      </x:c>
      <x:c r="M28" s="19" t="str">
        <x:v>Novo lead / qualificação</x:v>
      </x:c>
      <x:c r="N28" s="19" t="str">
        <x:v>Aguardando informação</x:v>
      </x:c>
      <x:c r="O28" s="19" t="str">
        <x:v>Sem valor definido.</x:v>
      </x:c>
      <x:c r="P28" s="19" t="str">
        <x:v>Não</x:v>
      </x:c>
      <x:c r="Q28" s="19" t="str">
        <x:v>A definir</x:v>
      </x:c>
      <x:c r="R28" s="19" t="str">
        <x:v>Pedido recebido por formulário. Purion solicitou detalhes: casa/apartamento T0/T1/T2/escritório e localização.</x:v>
      </x:c>
      <x:c r="S28" s="19" t="str">
        <x:v>Qualificar necessidade, recolher dados em falta e enviar proposta.</x:v>
      </x:c>
      <x:c r="T28" s="19" t="str">
        <x:v>Gmail</x:v>
      </x:c>
      <x:c r="U28" s="19" t="str">
        <x:v>https://mail.google.com/mail/#all/19d927154648ddc6</x:v>
      </x:c>
      <x:c r="V28" s="19" t="str">
        <x:v>2026-04-16</x:v>
      </x:c>
      <x:c r="W28" s="19" t="str">
        <x:v>2026-04-16</x:v>
      </x:c>
    </x:row>
    <x:row r="29">
      <x:c r="A29" s="19" t="str">
        <x:v>CRM-0028</x:v>
      </x:c>
      <x:c r="B29" s="19" t="str">
        <x:v>2026-04-15</x:v>
      </x:c>
      <x:c r="C29" s="19" t="str">
        <x:v>José Fernando Carpinteiro</x:v>
      </x:c>
      <x:c r="D29" s="19" t="str"/>
      <x:c r="E29" s="19" t="str">
        <x:v>jcarpinteiro@gmail.com</x:v>
      </x:c>
      <x:c r="F29" s="19" t="str">
        <x:v>+351934285470</x:v>
      </x:c>
      <x:c r="G29" s="19" t="str">
        <x:v>Formulário site + Email</x:v>
      </x:c>
      <x:c r="H29" s="19" t="str">
        <x:v>Formulário site</x:v>
      </x:c>
      <x:c r="I29" s="19" t="str">
        <x:v>Limpeza profunda residencial</x:v>
      </x:c>
      <x:c r="J29" s="19" t="str">
        <x:v>A definir</x:v>
      </x:c>
      <x:c r="K29" s="19" t="str">
        <x:v>T3 pequeno</x:v>
      </x:c>
      <x:c r="L29" s="19" t="str">
        <x:v>Solicitou orçamento; confirmou T3 pequeno e limpeza profunda.</x:v>
      </x:c>
      <x:c r="M29" s="19" t="str">
        <x:v>Novo lead / qualificação</x:v>
      </x:c>
      <x:c r="N29" s="19" t="str">
        <x:v>Orçamento enviado</x:v>
      </x:c>
      <x:c r="O29" s="19" t="str">
        <x:v>159,90€ por 6h com 2 pessoas.</x:v>
      </x:c>
      <x:c r="P29" s="19" t="str">
        <x:v>Não</x:v>
      </x:c>
      <x:c r="Q29" s="19" t="str">
        <x:v>Pontual</x:v>
      </x:c>
      <x:c r="R29" s="19" t="str">
        <x:v>Purion perguntou tipologia e tipo de limpeza. Cliente respondeu T3 pequeno/profunda. Purion enviou valor e pediu morada.</x:v>
      </x:c>
      <x:c r="S29" s="19" t="str">
        <x:v>Fazer follow-up comercial e atualizar resposta do cliente.</x:v>
      </x:c>
      <x:c r="T29" s="19" t="str">
        <x:v>Gmail</x:v>
      </x:c>
      <x:c r="U29" s="19" t="str">
        <x:v>https://mail.google.com/mail/#all/19d90bacbe6ebd96</x:v>
      </x:c>
      <x:c r="V29" s="19" t="str">
        <x:v>2026-04-15</x:v>
      </x:c>
      <x:c r="W29" s="19" t="str">
        <x:v>2026-04-15</x:v>
      </x:c>
    </x:row>
    <x:row r="30">
      <x:c r="A30" s="19" t="str">
        <x:v>CRM-0029</x:v>
      </x:c>
      <x:c r="B30" s="19" t="str">
        <x:v>2026-04-13</x:v>
      </x:c>
      <x:c r="C30" s="19" t="str">
        <x:v>Yulia Abasheva</x:v>
      </x:c>
      <x:c r="D30" s="19" t="str"/>
      <x:c r="E30" s="19" t="str">
        <x:v>yuliabasheva@gmail.com</x:v>
      </x:c>
      <x:c r="F30" s="19" t="str">
        <x:v>965567586</x:v>
      </x:c>
      <x:c r="G30" s="19" t="str">
        <x:v>Formulário site + Email</x:v>
      </x:c>
      <x:c r="H30" s="19" t="str">
        <x:v>Formulário site</x:v>
      </x:c>
      <x:c r="I30" s="19" t="str">
        <x:v>Limpeza pontual</x:v>
      </x:c>
      <x:c r="J30" s="19" t="str">
        <x:v>A definir</x:v>
      </x:c>
      <x:c r="K30" s="19" t="str">
        <x:v>A definir</x:v>
      </x:c>
      <x:c r="L30" s="19" t="str">
        <x:v>Pedido de orçamento para quarta-feira.</x:v>
      </x:c>
      <x:c r="M30" s="19" t="str">
        <x:v>Novo lead / qualificação</x:v>
      </x:c>
      <x:c r="N30" s="19" t="str">
        <x:v>Orçamento enviado</x:v>
      </x:c>
      <x:c r="O30" s="19" t="str">
        <x:v>86,10€ por 2h com 2 pessoas.</x:v>
      </x:c>
      <x:c r="P30" s="19" t="str">
        <x:v>Não</x:v>
      </x:c>
      <x:c r="Q30" s="19" t="str">
        <x:v>Pontual</x:v>
      </x:c>
      <x:c r="R30" s="19" t="str">
        <x:v>Pedido recebido por formulário. Purion enviou valor e pediu morada.</x:v>
      </x:c>
      <x:c r="S30" s="19" t="str">
        <x:v>Fazer follow-up comercial e atualizar resposta do cliente.</x:v>
      </x:c>
      <x:c r="T30" s="19" t="str">
        <x:v>Gmail</x:v>
      </x:c>
      <x:c r="U30" s="19" t="str">
        <x:v>https://mail.google.com/mail/#all/19d876d8798e63d8</x:v>
      </x:c>
      <x:c r="V30" s="19" t="str">
        <x:v>2026-04-13</x:v>
      </x:c>
      <x:c r="W30" s="19" t="str">
        <x:v>2026-04-13</x:v>
      </x:c>
    </x:row>
    <x:row r="31">
      <x:c r="A31" s="19" t="str">
        <x:v>CRM-0030</x:v>
      </x:c>
      <x:c r="B31" s="19" t="str">
        <x:v>2026-04-13</x:v>
      </x:c>
      <x:c r="C31" s="19" t="str">
        <x:v>Luisa Oliveira</x:v>
      </x:c>
      <x:c r="D31" s="19" t="str"/>
      <x:c r="E31" s="19" t="str">
        <x:v>luisa_coliveira@hotmail.com</x:v>
      </x:c>
      <x:c r="F31" s="19" t="str">
        <x:v>933421631</x:v>
      </x:c>
      <x:c r="G31" s="19" t="str">
        <x:v>Formulário site + Email</x:v>
      </x:c>
      <x:c r="H31" s="19" t="str">
        <x:v>Formulário site</x:v>
      </x:c>
      <x:c r="I31" s="19" t="str">
        <x:v>Limpeza pontual</x:v>
      </x:c>
      <x:c r="J31" s="19" t="str">
        <x:v>A definir</x:v>
      </x:c>
      <x:c r="K31" s="19" t="str">
        <x:v>A definir</x:v>
      </x:c>
      <x:c r="L31" s="19" t="str">
        <x:v>Pedido de orçamento.</x:v>
      </x:c>
      <x:c r="M31" s="19" t="str">
        <x:v>Novo lead / qualificação</x:v>
      </x:c>
      <x:c r="N31" s="19" t="str">
        <x:v>Orçamento enviado</x:v>
      </x:c>
      <x:c r="O31" s="19" t="str">
        <x:v>61,50€ por 2h.</x:v>
      </x:c>
      <x:c r="P31" s="19" t="str">
        <x:v>Não</x:v>
      </x:c>
      <x:c r="Q31" s="19" t="str">
        <x:v>Pontual</x:v>
      </x:c>
      <x:c r="R31" s="19" t="str">
        <x:v>Pedido recebido por formulário. Purion enviou orçamento de 61,50€ por 2 horas.</x:v>
      </x:c>
      <x:c r="S31" s="19" t="str">
        <x:v>Fazer follow-up comercial e atualizar resposta do cliente.</x:v>
      </x:c>
      <x:c r="T31" s="19" t="str">
        <x:v>Gmail</x:v>
      </x:c>
      <x:c r="U31" s="19" t="str">
        <x:v>https://mail.google.com/mail/#all/19d876be6aa0a4c1</x:v>
      </x:c>
      <x:c r="V31" s="19" t="str">
        <x:v>2026-04-13</x:v>
      </x:c>
      <x:c r="W31" s="19" t="str">
        <x:v>2026-04-13</x:v>
      </x:c>
    </x:row>
    <x:row r="32">
      <x:c r="A32" s="19" t="str">
        <x:v>CRM-0031</x:v>
      </x:c>
      <x:c r="B32" s="19" t="str">
        <x:v>2026-03-25</x:v>
      </x:c>
      <x:c r="C32" s="19" t="str">
        <x:v>Fátima Camacho</x:v>
      </x:c>
      <x:c r="D32" s="19" t="str">
        <x:v>Vivofácil S.A.U.</x:v>
      </x:c>
      <x:c r="E32" s="19" t="str">
        <x:v>fcamacho@vivofacil.com</x:v>
      </x:c>
      <x:c r="F32" s="19" t="str">
        <x:v>+34912 750 555</x:v>
      </x:c>
      <x:c r="G32" s="19" t="str">
        <x:v>Email</x:v>
      </x:c>
      <x:c r="H32" s="19" t="str">
        <x:v>Email</x:v>
      </x:c>
      <x:c r="I32" s="19" t="str">
        <x:v>Parceria / Limpezas pontuais</x:v>
      </x:c>
      <x:c r="J32" s="19" t="str">
        <x:v>Portugal</x:v>
      </x:c>
      <x:c r="K32" s="19" t="str">
        <x:v>Serviços solicitados por ordem de trabalho</x:v>
      </x:c>
      <x:c r="L32" s="19" t="str">
        <x:v>Proposta de colaboração e serviços pontuais.</x:v>
      </x:c>
      <x:c r="M32" s="19" t="str">
        <x:v>Faturado / pago</x:v>
      </x:c>
      <x:c r="N32" s="19" t="str">
        <x:v>Faturado / pago</x:v>
      </x:c>
      <x:c r="O32" s="19" t="str">
        <x:v>Serviço 40€; faturas FT_2026_1, FT_2026_3, FT_2026_91; pagamento recebido confirmado.</x:v>
      </x:c>
      <x:c r="P32" s="19" t="str">
        <x:v>Sim</x:v>
      </x:c>
      <x:c r="Q32" s="19" t="str">
        <x:v>A definir</x:v>
      </x:c>
      <x:c r="R32" s="19" t="str">
        <x:v>Cliente aceitou colaboração, serviço foi realizado, cliente ficou satisfeita, faturas corrigidas/enviadas e pagamento confirmado.</x:v>
      </x:c>
      <x:c r="S32" s="19" t="str">
        <x:v>Registo concluído; manter histórico e eventual feedback/recorrência.</x:v>
      </x:c>
      <x:c r="T32" s="19" t="str">
        <x:v>Gmail</x:v>
      </x:c>
      <x:c r="U32" s="19" t="str">
        <x:v>https://mail.google.com/mail/#all/19d25bcb0bba6615</x:v>
      </x:c>
      <x:c r="V32" s="19" t="str">
        <x:v>2026-04-17</x:v>
      </x:c>
      <x:c r="W32" s="19" t="str">
        <x:v>2026-03-25</x:v>
      </x:c>
    </x:row>
    <x:row r="33">
      <x:c r="A33" s="19" t="str">
        <x:v>CRM-0032</x:v>
      </x:c>
      <x:c r="B33" s="19" t="str">
        <x:v>2026-04-10</x:v>
      </x:c>
      <x:c r="C33" s="19" t="str">
        <x:v>José Pinto</x:v>
      </x:c>
      <x:c r="D33" s="19" t="str"/>
      <x:c r="E33" s="19" t="str">
        <x:v>zepintoporto@gmail.com</x:v>
      </x:c>
      <x:c r="F33" s="19" t="str"/>
      <x:c r="G33" s="19" t="str">
        <x:v>Email</x:v>
      </x:c>
      <x:c r="H33" s="19" t="str">
        <x:v>Email</x:v>
      </x:c>
      <x:c r="I33" s="19" t="str">
        <x:v>Alojamento Local</x:v>
      </x:c>
      <x:c r="J33" s="19" t="str">
        <x:v>A definir</x:v>
      </x:c>
      <x:c r="K33" s="19" t="str">
        <x:v>A definir</x:v>
      </x:c>
      <x:c r="L33" s="19" t="str">
        <x:v>Solicitou integração a grupo WhatsApp e instruções para acesso a reservas.</x:v>
      </x:c>
      <x:c r="M33" s="19" t="str">
        <x:v>Novo lead / qualificação</x:v>
      </x:c>
      <x:c r="N33" s="19" t="str">
        <x:v>Em operação / integração</x:v>
      </x:c>
      <x:c r="O33" s="19" t="str">
        <x:v>Valores não registados nesta versão.</x:v>
      </x:c>
      <x:c r="P33" s="19" t="str">
        <x:v>Não</x:v>
      </x:c>
      <x:c r="Q33" s="19" t="str">
        <x:v>Recorrente / potencial recorrente</x:v>
      </x:c>
      <x:c r="R33" s="19" t="str">
        <x:v>Cliente informou que aguardava ser adicionado ao grupo de WhatsApp e instruções para acesso às reservas; lembrou check-out no domingo.</x:v>
      </x:c>
      <x:c r="S33" s="19" t="str">
        <x:v>Confirmar execução, pagamento/faturação e feedback após o serviço.</x:v>
      </x:c>
      <x:c r="T33" s="19" t="str">
        <x:v>Gmail</x:v>
      </x:c>
      <x:c r="U33" s="19" t="str">
        <x:v>https://mail.google.com/mail/#all/19d781309d2988ad</x:v>
      </x:c>
      <x:c r="V33" s="19" t="str">
        <x:v>2026-04-10</x:v>
      </x:c>
      <x:c r="W33" s="19" t="str">
        <x:v>2026-04-10</x:v>
      </x:c>
    </x:row>
    <x:row r="34">
      <x:c r="A34" s="19" t="str">
        <x:v>CRM-0033</x:v>
      </x:c>
      <x:c r="B34" s="19" t="str">
        <x:v>2026-04-08</x:v>
      </x:c>
      <x:c r="C34" s="19" t="str">
        <x:v>Marta / Operations</x:v>
      </x:c>
      <x:c r="D34" s="19" t="str">
        <x:v>Prim &amp; Proper</x:v>
      </x:c>
      <x:c r="E34" s="19" t="str">
        <x:v>operations@primandproper.pt</x:v>
      </x:c>
      <x:c r="F34" s="19" t="str"/>
      <x:c r="G34" s="19" t="str">
        <x:v>Email</x:v>
      </x:c>
      <x:c r="H34" s="19" t="str">
        <x:v>Email</x:v>
      </x:c>
      <x:c r="I34" s="19" t="str">
        <x:v>Hotelaria / Alojamento Local</x:v>
      </x:c>
      <x:c r="J34" s="19" t="str">
        <x:v>A definir</x:v>
      </x:c>
      <x:c r="K34" s="19" t="str">
        <x:v>Hotel / unidades</x:v>
      </x:c>
      <x:c r="L34" s="19" t="str">
        <x:v>Proposta de serviços de limpeza.</x:v>
      </x:c>
      <x:c r="M34" s="19" t="str">
        <x:v>Proposta / orçamento enviado</x:v>
      </x:c>
      <x:c r="N34" s="19" t="str">
        <x:v>Proposta enviada</x:v>
      </x:c>
      <x:c r="O34" s="19" t="str">
        <x:v>Menor preço indicado depois: checkouts 25€+IVA; demais valores no histórico de email.</x:v>
      </x:c>
      <x:c r="P34" s="19" t="str">
        <x:v>Não</x:v>
      </x:c>
      <x:c r="Q34" s="19" t="str">
        <x:v>Recorrente / potencial recorrente</x:v>
      </x:c>
      <x:c r="R34" s="19" t="str">
        <x:v>Purion enviou proposta com apresentação e depois valores reduzidos para prestação de serviços ao hotel.</x:v>
      </x:c>
      <x:c r="S34" s="19" t="str">
        <x:v>Fazer follow-up comercial e atualizar resposta do cliente.</x:v>
      </x:c>
      <x:c r="T34" s="19" t="str">
        <x:v>Gmail</x:v>
      </x:c>
      <x:c r="U34" s="19" t="str">
        <x:v>https://mail.google.com/mail/#all/19d6e21627f90138</x:v>
      </x:c>
      <x:c r="V34" s="19" t="str">
        <x:v>2026-04-22</x:v>
      </x:c>
      <x:c r="W34" s="19" t="str">
        <x:v>2026-04-08</x:v>
      </x:c>
    </x:row>
    <x:row r="35">
      <x:c r="A35" s="19" t="str">
        <x:v>CRM-0034</x:v>
      </x:c>
      <x:c r="B35" s="19" t="str">
        <x:v>2026-04-08</x:v>
      </x:c>
      <x:c r="C35" s="19" t="str">
        <x:v>Afonso Cruz</x:v>
      </x:c>
      <x:c r="D35" s="19" t="str"/>
      <x:c r="E35" s="19" t="str">
        <x:v>afonsocmcruz@hotmail.com</x:v>
      </x:c>
      <x:c r="F35" s="19" t="str"/>
      <x:c r="G35" s="19" t="str">
        <x:v>Formulário site + Email</x:v>
      </x:c>
      <x:c r="H35" s="19" t="str">
        <x:v>Formulário site</x:v>
      </x:c>
      <x:c r="I35" s="19" t="str">
        <x:v>Alojamento Local / Limpeza pontual</x:v>
      </x:c>
      <x:c r="J35" s="19" t="str">
        <x:v>A definir</x:v>
      </x:c>
      <x:c r="K35" s="19" t="str">
        <x:v>T1 e T0</x:v>
      </x:c>
      <x:c r="L35" s="19" t="str">
        <x:v>Pedido de orçamento para T1 e T0.</x:v>
      </x:c>
      <x:c r="M35" s="19" t="str">
        <x:v>Novo lead / qualificação</x:v>
      </x:c>
      <x:c r="N35" s="19" t="str">
        <x:v>Orçamento enviado</x:v>
      </x:c>
      <x:c r="O35" s="19" t="str">
        <x:v>T1 50€+IVA por 2h; T0 50€+IVA por 2h.</x:v>
      </x:c>
      <x:c r="P35" s="19" t="str">
        <x:v>Não</x:v>
      </x:c>
      <x:c r="Q35" s="19" t="str">
        <x:v>Recorrente / potencial recorrente</x:v>
      </x:c>
      <x:c r="R35" s="19" t="str">
        <x:v>Purion respondeu com valores para T1 e T0 e enviou apresentação.</x:v>
      </x:c>
      <x:c r="S35" s="19" t="str">
        <x:v>Fazer follow-up comercial e atualizar resposta do cliente.</x:v>
      </x:c>
      <x:c r="T35" s="19" t="str">
        <x:v>Gmail</x:v>
      </x:c>
      <x:c r="U35" s="19" t="str">
        <x:v>https://mail.google.com/mail/#all/19d6dfc04ae712c7</x:v>
      </x:c>
      <x:c r="V35" s="19" t="str">
        <x:v>2026-04-08</x:v>
      </x:c>
      <x:c r="W35" s="19" t="str">
        <x:v>2026-04-08</x:v>
      </x:c>
    </x:row>
    <x:row r="36">
      <x:c r="A36" s="19" t="str">
        <x:v>CRM-0035</x:v>
      </x:c>
      <x:c r="B36" s="19" t="str">
        <x:v>2026-04-08</x:v>
      </x:c>
      <x:c r="C36" s="19" t="str">
        <x:v>Sergio Vilas</x:v>
      </x:c>
      <x:c r="D36" s="19" t="str"/>
      <x:c r="E36" s="19" t="str">
        <x:v>sergio_vilas20@hotmail.com</x:v>
      </x:c>
      <x:c r="F36" s="19" t="str">
        <x:v>+351964490965</x:v>
      </x:c>
      <x:c r="G36" s="19" t="str">
        <x:v>Formulário site + Email</x:v>
      </x:c>
      <x:c r="H36" s="19" t="str">
        <x:v>Formulário site</x:v>
      </x:c>
      <x:c r="I36" s="19" t="str">
        <x:v>Limpeza pontual</x:v>
      </x:c>
      <x:c r="J36" s="19" t="str">
        <x:v>A definir</x:v>
      </x:c>
      <x:c r="K36" s="19" t="str">
        <x:v>A definir + terraço</x:v>
      </x:c>
      <x:c r="L36" s="19" t="str">
        <x:v>Pedido de orçamento com possível terraço.</x:v>
      </x:c>
      <x:c r="M36" s="19" t="str">
        <x:v>Novo lead / qualificação</x:v>
      </x:c>
      <x:c r="N36" s="19" t="str">
        <x:v>Orçamento enviado</x:v>
      </x:c>
      <x:c r="O36" s="19" t="str">
        <x:v>70€ + IVA por 3h; pedido de fotos do terraço.</x:v>
      </x:c>
      <x:c r="P36" s="19" t="str">
        <x:v>Não</x:v>
      </x:c>
      <x:c r="Q36" s="19" t="str">
        <x:v>Pontual</x:v>
      </x:c>
      <x:c r="R36" s="19" t="str">
        <x:v>Purion respondeu com valor e solicitou fotos adicionais da área do terraço.</x:v>
      </x:c>
      <x:c r="S36" s="19" t="str">
        <x:v>Fazer follow-up comercial e atualizar resposta do cliente.</x:v>
      </x:c>
      <x:c r="T36" s="19" t="str">
        <x:v>Gmail</x:v>
      </x:c>
      <x:c r="U36" s="19" t="str">
        <x:v>https://mail.google.com/mail/#all/19d6c3e7172b55a0</x:v>
      </x:c>
      <x:c r="V36" s="19" t="str">
        <x:v>2026-04-08</x:v>
      </x:c>
      <x:c r="W36" s="19" t="str">
        <x:v>2026-04-08</x:v>
      </x:c>
    </x:row>
    <x:row r="37">
      <x:c r="A37" s="19" t="str">
        <x:v>CRM-0036</x:v>
      </x:c>
      <x:c r="B37" s="19" t="str">
        <x:v>2026-04-07</x:v>
      </x:c>
      <x:c r="C37" s="19" t="str">
        <x:v>Susana Marques</x:v>
      </x:c>
      <x:c r="D37" s="19" t="str"/>
      <x:c r="E37" s="19" t="str">
        <x:v>wildconstellation@gmail.com</x:v>
      </x:c>
      <x:c r="F37" s="19" t="str"/>
      <x:c r="G37" s="19" t="str">
        <x:v>Email</x:v>
      </x:c>
      <x:c r="H37" s="19" t="str">
        <x:v>Email</x:v>
      </x:c>
      <x:c r="I37" s="19" t="str">
        <x:v>Alojamento Local</x:v>
      </x:c>
      <x:c r="J37" s="19" t="str">
        <x:v>A definir</x:v>
      </x:c>
      <x:c r="K37" s="19" t="str">
        <x:v>T1 45m² + sofá cama</x:v>
      </x:c>
      <x:c r="L37" s="19" t="str">
        <x:v>Solicitou orçamento completo: limpeza, lavandaria e roupa da Purion.</x:v>
      </x:c>
      <x:c r="M37" s="19" t="str">
        <x:v>Proposta / orçamento enviado</x:v>
      </x:c>
      <x:c r="N37" s="19" t="str">
        <x:v>Preçário enviado</x:v>
      </x:c>
      <x:c r="O37" s="19" t="str">
        <x:v>Preços AL enviados.</x:v>
      </x:c>
      <x:c r="P37" s="19" t="str">
        <x:v>Não</x:v>
      </x:c>
      <x:c r="Q37" s="19" t="str">
        <x:v>Recorrente / potencial recorrente</x:v>
      </x:c>
      <x:c r="R37" s="19" t="str">
        <x:v>Cliente pediu orçamento para pacote mais completo com lavandaria e roupa Purion. Purion enviou preços de AL e apresentação.</x:v>
      </x:c>
      <x:c r="S37" s="19" t="str">
        <x:v>Fazer follow-up comercial e atualizar resposta do cliente.</x:v>
      </x:c>
      <x:c r="T37" s="19" t="str">
        <x:v>Gmail</x:v>
      </x:c>
      <x:c r="U37" s="19" t="str">
        <x:v>https://mail.google.com/mail/#all/19d68e5e28d87054</x:v>
      </x:c>
      <x:c r="V37" s="19" t="str">
        <x:v>2026-04-07</x:v>
      </x:c>
      <x:c r="W37" s="19" t="str">
        <x:v>2026-04-07</x:v>
      </x:c>
    </x:row>
    <x:row r="38">
      <x:c r="A38" s="19" t="str">
        <x:v>CRM-0037</x:v>
      </x:c>
      <x:c r="B38" s="19" t="str">
        <x:v>2026-04-21</x:v>
      </x:c>
      <x:c r="C38" s="19" t="str">
        <x:v>Leonilda Almeida</x:v>
      </x:c>
      <x:c r="D38" s="19" t="str"/>
      <x:c r="E38" s="19" t="str">
        <x:v>Leonildaalmeida665@gmail.com</x:v>
      </x:c>
      <x:c r="F38" s="19" t="str">
        <x:v>913 549 857</x:v>
      </x:c>
      <x:c r="G38" s="19" t="str">
        <x:v>Formulário site</x:v>
      </x:c>
      <x:c r="H38" s="19" t="str">
        <x:v>Formulário site</x:v>
      </x:c>
      <x:c r="I38" s="19" t="str">
        <x:v>A definir</x:v>
      </x:c>
      <x:c r="J38" s="19" t="str">
        <x:v>A definir</x:v>
      </x:c>
      <x:c r="K38" s="19" t="str">
        <x:v>A definir</x:v>
      </x:c>
      <x:c r="L38" s="19" t="str">
        <x:v>Entrada de formulário repetida em 09/04/2026.</x:v>
      </x:c>
      <x:c r="M38" s="19" t="str">
        <x:v>Novo lead / qualificação</x:v>
      </x:c>
      <x:c r="N38" s="19" t="str">
        <x:v>Entrada recebida</x:v>
      </x:c>
      <x:c r="O38" s="19" t="str">
        <x:v>Sem valor definido.</x:v>
      </x:c>
      <x:c r="P38" s="19" t="str">
        <x:v>Não</x:v>
      </x:c>
      <x:c r="Q38" s="19" t="str">
        <x:v>A definir</x:v>
      </x:c>
      <x:c r="R38" s="19" t="str">
        <x:v>FormSubmit recebido múltiplas vezes com nome, telefone e email. Conteúdo detalhado não aberto nesta versão.</x:v>
      </x:c>
      <x:c r="S38" s="19" t="str">
        <x:v>Qualificar necessidade, recolher dados em falta e enviar proposta.</x:v>
      </x:c>
      <x:c r="T38" s="19" t="str">
        <x:v>Gmail</x:v>
      </x:c>
      <x:c r="U38" s="19" t="str">
        <x:v>https://mail.google.com/mail/#all/19d72902dc7f58c1</x:v>
      </x:c>
      <x:c r="V38" s="19" t="str">
        <x:v>2026-04-09</x:v>
      </x:c>
      <x:c r="W38" s="19" t="str">
        <x:v>2026-04-21</x:v>
      </x:c>
    </x:row>
    <x:row r="39">
      <x:c r="A39" s="19" t="str">
        <x:v>CRM-0038</x:v>
      </x:c>
      <x:c r="B39" s="19" t="str">
        <x:v>2026-05-07</x:v>
      </x:c>
      <x:c r="C39" s="19" t="str">
        <x:v>Reception</x:v>
      </x:c>
      <x:c r="D39" s="19" t="str">
        <x:v>Gharb Porto</x:v>
      </x:c>
      <x:c r="E39" s="19" t="str">
        <x:v>reception@gharbporto.com</x:v>
      </x:c>
      <x:c r="F39" s="19" t="str"/>
      <x:c r="G39" s="19" t="str">
        <x:v>Email</x:v>
      </x:c>
      <x:c r="H39" s="19" t="str">
        <x:v>Email</x:v>
      </x:c>
      <x:c r="I39" s="19" t="str">
        <x:v>Alojamento Local / Estúdios</x:v>
      </x:c>
      <x:c r="J39" s="19" t="str">
        <x:v>Baixa do Porto</x:v>
      </x:c>
      <x:c r="K39" s="19" t="str">
        <x:v>Estúdios</x:v>
      </x:c>
      <x:c r="L39" s="19" t="str">
        <x:v>Parceria para limpeza de estúdios.</x:v>
      </x:c>
      <x:c r="M39" s="19" t="str">
        <x:v>Proposta / orçamento enviado</x:v>
      </x:c>
      <x:c r="N39" s="19" t="str">
        <x:v>Preçário enviado</x:v>
      </x:c>
      <x:c r="O39" s="19" t="str">
        <x:v>Preçários enviados.</x:v>
      </x:c>
      <x:c r="P39" s="19" t="str">
        <x:v>Não</x:v>
      </x:c>
      <x:c r="Q39" s="19" t="str">
        <x:v>Recorrente / potencial recorrente</x:v>
      </x:c>
      <x:c r="R39" s="19" t="str">
        <x:v>Purion enviou follow-up perguntando se tinham analisado preçários enviados para estúdios na Baixa.</x:v>
      </x:c>
      <x:c r="S39" s="19" t="str">
        <x:v>Fazer follow-up comercial e atualizar resposta do cliente.</x:v>
      </x:c>
      <x:c r="T39" s="19" t="str">
        <x:v>Gmail</x:v>
      </x:c>
      <x:c r="U39" s="19" t="str">
        <x:v>https://mail.google.com/mail/#all/19e02e6b78ccd705</x:v>
      </x:c>
      <x:c r="V39" s="19" t="str">
        <x:v>2026-05-07</x:v>
      </x:c>
      <x:c r="W39" s="19" t="str">
        <x:v>2026-05-07</x:v>
      </x:c>
    </x:row>
    <x:row r="40">
      <x:c r="A40" s="19" t="str">
        <x:v>CRM-0039</x:v>
      </x:c>
      <x:c r="B40" s="19" t="str">
        <x:v>2026-05-07</x:v>
      </x:c>
      <x:c r="C40" s="19" t="str">
        <x:v>Olga</x:v>
      </x:c>
      <x:c r="D40" s="19" t="str">
        <x:v>Portugal with a Local</x:v>
      </x:c>
      <x:c r="E40" s="19" t="str">
        <x:v>portugalwithalocal@gmail.com</x:v>
      </x:c>
      <x:c r="F40" s="19" t="str"/>
      <x:c r="G40" s="19" t="str">
        <x:v>Email / Rascunho</x:v>
      </x:c>
      <x:c r="H40" s="19" t="str">
        <x:v>Email / Rascunho</x:v>
      </x:c>
      <x:c r="I40" s="19" t="str">
        <x:v>Alojamento Local</x:v>
      </x:c>
      <x:c r="J40" s="19" t="str">
        <x:v>A definir</x:v>
      </x:c>
      <x:c r="K40" s="19" t="str">
        <x:v>Apartamentos</x:v>
      </x:c>
      <x:c r="L40" s="19" t="str">
        <x:v>Proposta para limpeza e manutenção de apartamentos.</x:v>
      </x:c>
      <x:c r="M40" s="19" t="str">
        <x:v>Novo lead / qualificação</x:v>
      </x:c>
      <x:c r="N40" s="19" t="str">
        <x:v>Rascunho de follow-up</x:v>
      </x:c>
      <x:c r="O40" s="19" t="str">
        <x:v>Valores não registados nesta versão.</x:v>
      </x:c>
      <x:c r="P40" s="19" t="str">
        <x:v>Não</x:v>
      </x:c>
      <x:c r="Q40" s="19" t="str">
        <x:v>Recorrente / potencial recorrente</x:v>
      </x:c>
      <x:c r="R40" s="19" t="str">
        <x:v>Há rascunho de follow-up para proposta enviada sobre limpeza e manutenção de apartamentos.</x:v>
      </x:c>
      <x:c r="S40" s="19" t="str">
        <x:v>Qualificar necessidade, recolher dados em falta e enviar proposta.</x:v>
      </x:c>
      <x:c r="T40" s="19" t="str">
        <x:v>Gmail draft</x:v>
      </x:c>
      <x:c r="U40" s="19" t="str">
        <x:v>https://mail.google.com/mail/#all/19e02db8135268db</x:v>
      </x:c>
      <x:c r="V40" s="19" t="str">
        <x:v>2026-05-07</x:v>
      </x:c>
      <x:c r="W40" s="19" t="str">
        <x:v>2026-05-07</x:v>
      </x:c>
    </x:row>
    <x:row r="41">
      <x:c r="A41" s="19" t="str">
        <x:v>CRM-0040</x:v>
      </x:c>
      <x:c r="B41" s="19" t="str">
        <x:v>2026-05-07</x:v>
      </x:c>
      <x:c r="C41" s="19" t="str">
        <x:v>Elizane Macedo</x:v>
      </x:c>
      <x:c r="D41" s="19" t="str"/>
      <x:c r="E41" s="19" t="str">
        <x:v>elizanelmacedo@gmail.com</x:v>
      </x:c>
      <x:c r="F41" s="19" t="str">
        <x:v>+351963100861</x:v>
      </x:c>
      <x:c r="G41" s="19" t="str">
        <x:v>Formulário site + Email</x:v>
      </x:c>
      <x:c r="H41" s="19" t="str">
        <x:v>Formulário site</x:v>
      </x:c>
      <x:c r="I41" s="19" t="str">
        <x:v>Limpeza de apartamento</x:v>
      </x:c>
      <x:c r="J41" s="19" t="str">
        <x:v>Porto</x:v>
      </x:c>
      <x:c r="K41" s="19" t="str">
        <x:v>T1</x:v>
      </x:c>
      <x:c r="L41" s="19" t="str">
        <x:v>Pedido de limpeza de apartamento T1 com produtos/equipamentos.</x:v>
      </x:c>
      <x:c r="M41" s="19" t="str">
        <x:v>Proposta / orçamento enviado</x:v>
      </x:c>
      <x:c r="N41" s="19" t="str">
        <x:v>Preçário enviado</x:v>
      </x:c>
      <x:c r="O41" s="19" t="str">
        <x:v>Apresentação, preçário AL e lavagem a seco enviados.</x:v>
      </x:c>
      <x:c r="P41" s="19" t="str">
        <x:v>Não</x:v>
      </x:c>
      <x:c r="Q41" s="19" t="str">
        <x:v>A definir</x:v>
      </x:c>
      <x:c r="R41" s="19" t="str">
        <x:v>Purion enviou informações/preçário e depois follow-up.</x:v>
      </x:c>
      <x:c r="S41" s="19" t="str">
        <x:v>Fazer follow-up comercial e atualizar resposta do cliente.</x:v>
      </x:c>
      <x:c r="T41" s="19" t="str">
        <x:v>Gmail</x:v>
      </x:c>
      <x:c r="U41" s="19" t="str"/>
      <x:c r="V41" s="19" t="str">
        <x:v>2026-05-12</x:v>
      </x:c>
      <x:c r="W41" s="19" t="str">
        <x:v>2026-05-07</x:v>
      </x:c>
    </x:row>
    <x:row r="42">
      <x:c r="A42" s="19" t="str">
        <x:v>CRM-0041</x:v>
      </x:c>
      <x:c r="B42" s="19" t="str">
        <x:v>2026-05-09</x:v>
      </x:c>
      <x:c r="C42" s="19" t="str">
        <x:v>Ana Varela</x:v>
      </x:c>
      <x:c r="D42" s="19" t="str">
        <x:v>Prummo</x:v>
      </x:c>
      <x:c r="E42" s="19" t="str">
        <x:v>gestao@prummo.pt / geral@prummo.pt</x:v>
      </x:c>
      <x:c r="F42" s="19" t="str"/>
      <x:c r="G42" s="19" t="str">
        <x:v>Email</x:v>
      </x:c>
      <x:c r="H42" s="19" t="str">
        <x:v>Email</x:v>
      </x:c>
      <x:c r="I42" s="19" t="str">
        <x:v>Limpeza residencial profunda</x:v>
      </x:c>
      <x:c r="J42" s="19" t="str">
        <x:v>A definir</x:v>
      </x:c>
      <x:c r="K42" s="19" t="str">
        <x:v>T4</x:v>
      </x:c>
      <x:c r="L42" s="19" t="str">
        <x:v>Cotação para limpeza profunda de T4.</x:v>
      </x:c>
      <x:c r="M42" s="19" t="str">
        <x:v>Proposta / orçamento enviado</x:v>
      </x:c>
      <x:c r="N42" s="19" t="str">
        <x:v>Cotação enviada</x:v>
      </x:c>
      <x:c r="O42" s="19" t="str">
        <x:v>90€ + IVA para T4 profunda.</x:v>
      </x:c>
      <x:c r="P42" s="19" t="str">
        <x:v>Não</x:v>
      </x:c>
      <x:c r="Q42" s="19" t="str">
        <x:v>Pontual</x:v>
      </x:c>
      <x:c r="R42" s="19" t="str">
        <x:v>Purion enviou cotação a Ana Varela/Prummo; um envio para gestao@prummo.pt devolveu erro de entrega e houve envio para geral@prummo.pt.</x:v>
      </x:c>
      <x:c r="S42" s="19" t="str">
        <x:v>Fazer follow-up comercial e atualizar resposta do cliente.</x:v>
      </x:c>
      <x:c r="T42" s="19" t="str">
        <x:v>Gmail</x:v>
      </x:c>
      <x:c r="U42" s="19" t="str"/>
      <x:c r="V42" s="19" t="str">
        <x:v>2026-05-09</x:v>
      </x:c>
      <x:c r="W42" s="19" t="str">
        <x:v>2026-05-09</x:v>
      </x:c>
    </x:row>
    <x:row r="43">
      <x:c r="A43" s="19" t="str">
        <x:v>CRM-0042</x:v>
      </x:c>
      <x:c r="B43" s="19" t="str">
        <x:v>2026-05-12</x:v>
      </x:c>
      <x:c r="C43" s="19" t="str">
        <x:v>Carina Alves Oliveira</x:v>
      </x:c>
      <x:c r="D43" s="19" t="str"/>
      <x:c r="E43" s="19" t="str">
        <x:v>carinalvesoliveira@gmail.com</x:v>
      </x:c>
      <x:c r="F43" s="19" t="str"/>
      <x:c r="G43" s="19" t="str">
        <x:v>Email</x:v>
      </x:c>
      <x:c r="H43" s="19" t="str">
        <x:v>Email</x:v>
      </x:c>
      <x:c r="I43" s="19" t="str">
        <x:v>Limpeza de apartamento</x:v>
      </x:c>
      <x:c r="J43" s="19" t="str">
        <x:v>A definir</x:v>
      </x:c>
      <x:c r="K43" s="19" t="str">
        <x:v>Apartamento</x:v>
      </x:c>
      <x:c r="L43" s="19" t="str">
        <x:v>Proposta enviada anteriormente para limpeza de apartamento.</x:v>
      </x:c>
      <x:c r="M43" s="19" t="str">
        <x:v>Novo lead / qualificação</x:v>
      </x:c>
      <x:c r="N43" s="19" t="str">
        <x:v>Follow-up enviado</x:v>
      </x:c>
      <x:c r="O43" s="19" t="str">
        <x:v>Valores não registados nesta versão.</x:v>
      </x:c>
      <x:c r="P43" s="19" t="str">
        <x:v>Não</x:v>
      </x:c>
      <x:c r="Q43" s="19" t="str">
        <x:v>A definir</x:v>
      </x:c>
      <x:c r="R43" s="19" t="str">
        <x:v>Purion enviou follow-up perguntando se cliente analisou a proposta anterior.</x:v>
      </x:c>
      <x:c r="S43" s="19" t="str">
        <x:v>Qualificar necessidade, recolher dados em falta e enviar proposta.</x:v>
      </x:c>
      <x:c r="T43" s="19" t="str">
        <x:v>Gmail</x:v>
      </x:c>
      <x:c r="U43" s="19" t="str"/>
      <x:c r="V43" s="19" t="str">
        <x:v>2026-05-12</x:v>
      </x:c>
      <x:c r="W43" s="19" t="str">
        <x:v>2026-05-12</x:v>
      </x:c>
    </x:row>
    <x:row r="44">
      <x:c r="A44" s="19" t="str">
        <x:v>CRM-0043</x:v>
      </x:c>
      <x:c r="B44" s="19" t="str">
        <x:v>2026-05-13</x:v>
      </x:c>
      <x:c r="C44" s="19" t="str">
        <x:v>Sandra Silva</x:v>
      </x:c>
      <x:c r="D44" s="19" t="str">
        <x:v>Home Porto</x:v>
      </x:c>
      <x:c r="E44" s="19" t="str">
        <x:v>sandrasilva@homeporto.pt</x:v>
      </x:c>
      <x:c r="F44" s="19" t="str">
        <x:v>912128406</x:v>
      </x:c>
      <x:c r="G44" s="19" t="str">
        <x:v>Formulário site</x:v>
      </x:c>
      <x:c r="H44" s="19" t="str">
        <x:v>Formulário site</x:v>
      </x:c>
      <x:c r="I44" s="19" t="str">
        <x:v>Alojamento Local</x:v>
      </x:c>
      <x:c r="J44" s="19" t="str">
        <x:v>Porto</x:v>
      </x:c>
      <x:c r="K44" s="19" t="str">
        <x:v>Várias unidades T0, T1 e T2</x:v>
      </x:c>
      <x:c r="L44" s="19" t="str">
        <x:v>Procura equipa de limpeza para alojamento local no Porto para colaboração em várias unidades. Solicitou proposta com preço por tipologia, serviços incluídos, roupa/lavandaria, reposição, lixo, disponibilidade para check-in/check-out no mesmo dia, tempo de resposta a urgências, forma de comunicação, equipa fixa/variável e política em caso de danos, falhas ou problemas operacionais.</x:v>
      </x:c>
      <x:c r="M44" s="19" t="str">
        <x:v>Novo lead / qualificação</x:v>
      </x:c>
      <x:c r="N44" s="19" t="str">
        <x:v>Novo pedido</x:v>
      </x:c>
      <x:c r="O44" s="19" t="str">
        <x:v>Sem valor enviado nesta versão.</x:v>
      </x:c>
      <x:c r="P44" s="19" t="str">
        <x:v>Não</x:v>
      </x:c>
      <x:c r="Q44" s="19" t="str">
        <x:v>Recorrente / potencial recorrente</x:v>
      </x:c>
      <x:c r="R44" s="19" t="str">
        <x:v>Pedido recebido via formulário do site em 13/05/2026. Cliente procura colaboração para várias unidades de AL no Porto e solicita proposta estruturada por tipologia e operação.</x:v>
      </x:c>
      <x:c r="S44" s="19" t="str">
        <x:v>Qualificar necessidade, recolher dados em falta e enviar proposta.</x:v>
      </x:c>
      <x:c r="T44" s="19" t="str">
        <x:v>FormSubmit: Novo pedido de orçamento — Purion</x:v>
      </x:c>
      <x:c r="U44" s="19" t="str">
        <x:v>https://mail.google.com/mail/#all/19e2091e3992fddf</x:v>
      </x:c>
      <x:c r="V44" s="19" t="str">
        <x:v>2026-05-13</x:v>
      </x:c>
      <x:c r="W44" s="19" t="str">
        <x:v>2026-05-13</x:v>
      </x:c>
    </x:row>
  </x:sheetData>
  <x:pageMargins left="0.7" right="0.7" top="0.75" bottom="0.75" header="0.3" footer="0.3"/>
  <x:tableParts count="1">
    <x:tablePart xmlns:r="http://schemas.openxmlformats.org/officeDocument/2006/relationships" r:id="Rac9bfda0afe648b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6" t="str">
        <x:v>Estado comercial</x:v>
      </x:c>
      <x:c r="B1" s="6" t="str">
        <x:v>Origem principal</x:v>
      </x:c>
      <x:c r="C1" s="6" t="str">
        <x:v>Tipo de serviço</x:v>
      </x:c>
      <x:c r="D1" s="6" t="str">
        <x:v>Pago / Faturado</x:v>
      </x:c>
    </x:row>
    <x:row r="2">
      <x:c r="A2" s="22" t="str">
        <x:v>Agendado / em operação</x:v>
      </x:c>
      <x:c r="B2" s="22" t="str">
        <x:v>Email</x:v>
      </x:c>
      <x:c r="C2" s="22" t="str">
        <x:v>A definir</x:v>
      </x:c>
      <x:c r="D2" s="22" t="str">
        <x:v>Não</x:v>
      </x:c>
    </x:row>
    <x:row r="3">
      <x:c r="A3" s="22" t="str">
        <x:v>Contactado / informação enviada</x:v>
      </x:c>
      <x:c r="B3" s="22" t="str">
        <x:v>Email / Rascunho</x:v>
      </x:c>
      <x:c r="C3" s="22" t="str">
        <x:v>Alojamento Local</x:v>
      </x:c>
      <x:c r="D3" s="22" t="str">
        <x:v>Sim</x:v>
      </x:c>
    </x:row>
    <x:row r="4">
      <x:c r="A4" s="22" t="str">
        <x:v>Faturado / pago</x:v>
      </x:c>
      <x:c r="B4" s="22" t="str">
        <x:v>Formulário site</x:v>
      </x:c>
      <x:c r="C4" s="22" t="str">
        <x:v>Alojamento Local + Lavandaria</x:v>
      </x:c>
      <x:c r="D4" s="22" t="str"/>
    </x:row>
    <x:row r="5">
      <x:c r="A5" s="22" t="str">
        <x:v>Negociação / contrato</x:v>
      </x:c>
      <x:c r="B5" s="22" t="str">
        <x:v>Instagram</x:v>
      </x:c>
      <x:c r="C5" s="22" t="str">
        <x:v>Alojamento Local / Estúdios</x:v>
      </x:c>
      <x:c r="D5" s="22" t="str"/>
    </x:row>
    <x:row r="6">
      <x:c r="A6" s="22" t="str">
        <x:v>Novo lead / qualificação</x:v>
      </x:c>
      <x:c r="B6" s="22" t="str">
        <x:v>Presencial</x:v>
      </x:c>
      <x:c r="C6" s="22" t="str">
        <x:v>Alojamento Local / Gestão de AL</x:v>
      </x:c>
      <x:c r="D6" s="22" t="str"/>
    </x:row>
    <x:row r="7">
      <x:c r="A7" s="22" t="str">
        <x:v>Proposta / orçamento enviado</x:v>
      </x:c>
      <x:c r="B7" s="22" t="str">
        <x:v>WhatsApp</x:v>
      </x:c>
      <x:c r="C7" s="22" t="str">
        <x:v>Alojamento Local / Limpeza pontual</x:v>
      </x:c>
      <x:c r="D7" s="22" t="str"/>
    </x:row>
    <x:row r="8">
      <x:c r="A8" s="22" t="str"/>
      <x:c r="B8" s="22" t="str"/>
      <x:c r="C8" s="22" t="str">
        <x:v>Alojamento Local / Serviços prestados</x:v>
      </x:c>
      <x:c r="D8" s="22" t="str"/>
    </x:row>
    <x:row r="9">
      <x:c r="A9" s="22" t="str"/>
      <x:c r="B9" s="22" t="str"/>
      <x:c r="C9" s="22" t="str">
        <x:v>Escritório / Corporativo</x:v>
      </x:c>
      <x:c r="D9" s="22" t="str"/>
    </x:row>
    <x:row r="10">
      <x:c r="A10" s="22" t="str"/>
      <x:c r="B10" s="22" t="str"/>
      <x:c r="C10" s="22" t="str">
        <x:v>Escritório / Limpeza profunda / Lavagem a seco</x:v>
      </x:c>
      <x:c r="D10" s="22" t="str"/>
    </x:row>
    <x:row r="11">
      <x:c r="A11" s="22" t="str"/>
      <x:c r="B11" s="22" t="str"/>
      <x:c r="C11" s="22" t="str">
        <x:v>Hotelaria</x:v>
      </x:c>
      <x:c r="D11" s="22" t="str"/>
    </x:row>
    <x:row r="12">
      <x:c r="A12" s="22" t="str"/>
      <x:c r="B12" s="22" t="str"/>
      <x:c r="C12" s="22" t="str">
        <x:v>Hotelaria / Alojamento Local</x:v>
      </x:c>
      <x:c r="D12" s="22" t="str"/>
    </x:row>
    <x:row r="13">
      <x:c r="A13" s="22" t="str"/>
      <x:c r="B13" s="22" t="str"/>
      <x:c r="C13" s="22" t="str">
        <x:v>Hotelaria boutique / Alojamento Local</x:v>
      </x:c>
      <x:c r="D13" s="22" t="str"/>
    </x:row>
    <x:row r="14">
      <x:c r="A14" s="22" t="str"/>
      <x:c r="B14" s="22" t="str"/>
      <x:c r="C14" s="22" t="str">
        <x:v>Limpeza de apartamento</x:v>
      </x:c>
      <x:c r="D14" s="22" t="str"/>
    </x:row>
    <x:row r="15">
      <x:c r="A15" s="22" t="str"/>
      <x:c r="B15" s="22" t="str"/>
      <x:c r="C15" s="22" t="str">
        <x:v>Limpeza de vidros/passeio</x:v>
      </x:c>
      <x:c r="D15" s="22" t="str"/>
    </x:row>
    <x:row r="16">
      <x:c r="A16" s="22" t="str"/>
      <x:c r="B16" s="22" t="str"/>
      <x:c r="C16" s="22" t="str">
        <x:v>Limpeza pontual</x:v>
      </x:c>
      <x:c r="D16" s="22" t="str"/>
    </x:row>
    <x:row r="17">
      <x:c r="A17" s="22" t="str"/>
      <x:c r="B17" s="22" t="str"/>
      <x:c r="C17" s="22" t="str">
        <x:v>Limpeza profunda residencial</x:v>
      </x:c>
      <x:c r="D17" s="22" t="str"/>
    </x:row>
    <x:row r="18">
      <x:c r="A18" s="22" t="str"/>
      <x:c r="B18" s="22" t="str"/>
      <x:c r="C18" s="22" t="str">
        <x:v>Limpeza pós-obra</x:v>
      </x:c>
      <x:c r="D18" s="22" t="str"/>
    </x:row>
    <x:row r="19">
      <x:c r="A19" s="22" t="str"/>
      <x:c r="B19" s="22" t="str"/>
      <x:c r="C19" s="22" t="str">
        <x:v>Limpeza pós-obra e manutenção regular</x:v>
      </x:c>
      <x:c r="D19" s="22" t="str"/>
    </x:row>
    <x:row r="20">
      <x:c r="A20" s="22" t="str"/>
      <x:c r="B20" s="22" t="str"/>
      <x:c r="C20" s="22" t="str">
        <x:v>Limpeza residencial / estúdio</x:v>
      </x:c>
      <x:c r="D20" s="22" t="str"/>
    </x:row>
    <x:row r="21">
      <x:c r="A21" s="22" t="str"/>
      <x:c r="B21" s="22" t="str"/>
      <x:c r="C21" s="22" t="str">
        <x:v>Limpeza residencial profunda</x:v>
      </x:c>
      <x:c r="D21" s="22" t="str"/>
    </x:row>
    <x:row r="22">
      <x:c r="A22" s="22" t="str"/>
      <x:c r="B22" s="22" t="str"/>
      <x:c r="C22" s="22" t="str">
        <x:v>Limpezas corporativas recorrentes</x:v>
      </x:c>
      <x:c r="D22" s="22" t="str"/>
    </x:row>
    <x:row r="23">
      <x:c r="A23" s="22" t="str"/>
      <x:c r="B23" s="22" t="str"/>
      <x:c r="C23" s="22" t="str">
        <x:v>Loja / Montras</x:v>
      </x:c>
      <x:c r="D23" s="22" t="str"/>
    </x:row>
    <x:row r="24">
      <x:c r="A24" s="22" t="str"/>
      <x:c r="B24" s="22" t="str"/>
      <x:c r="C24" s="22" t="str">
        <x:v>Parceria / Higienização</x:v>
      </x:c>
      <x:c r="D24" s="22" t="str"/>
    </x:row>
    <x:row r="25">
      <x:c r="A25" s="22" t="str"/>
      <x:c r="B25" s="22" t="str"/>
      <x:c r="C25" s="22" t="str">
        <x:v>Parceria / Limpezas pontuais</x:v>
      </x:c>
      <x:c r="D25" s="22" t="str"/>
    </x:row>
    <x:row r="26">
      <x:c r="A26" s="22" t="str"/>
      <x:c r="B26" s="22" t="str"/>
      <x:c r="C26" s="22" t="str">
        <x:v>Pós-obra</x:v>
      </x:c>
      <x:c r="D26" s="22" t="str"/>
    </x:row>
  </x:sheetData>
  <x:pageMargins left="0.7" right="0.7" top="0.75" bottom="0.75" header="0.3" footer="0.3"/>
  <x:tableParts count="1">
    <x:tablePart xmlns:r="http://schemas.openxmlformats.org/officeDocument/2006/relationships" r:id="R9326afbdf29948b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22" hidden="0" customWidth="1"/>
    <x:col min="5" max="5" width="60" hidden="0" customWidth="1"/>
    <x:col min="6" max="6" width="36" hidden="0" customWidth="1"/>
  </x:cols>
  <x:sheetData>
    <x:row r="1">
      <x:c r="A1" s="6" t="str">
        <x:v>ID Lead</x:v>
      </x:c>
      <x:c r="B1" s="6" t="str">
        <x:v>Data</x:v>
      </x:c>
      <x:c r="C1" s="6" t="str">
        <x:v>Canal</x:v>
      </x:c>
      <x:c r="D1" s="6" t="str">
        <x:v>Interveniente</x:v>
      </x:c>
      <x:c r="E1" s="6" t="str">
        <x:v>Histórico / Conversa</x:v>
      </x:c>
      <x:c r="F1" s="6" t="str">
        <x:v>Fonte / Link</x:v>
      </x:c>
    </x:row>
    <x:row r="2">
      <x:c r="A2" s="22" t="str">
        <x:v>CRM-0001</x:v>
      </x:c>
      <x:c r="B2" s="22" t="str">
        <x:v>2026-05-12</x:v>
      </x:c>
      <x:c r="C2" s="22" t="str">
        <x:v>Formulário site</x:v>
      </x:c>
      <x:c r="D2" s="22" t="str">
        <x:v>Daniela Campos</x:v>
      </x:c>
      <x:c r="E2" s="22" t="str">
        <x:v>Pedido recebido via formulário em 12/05/2026.</x:v>
      </x:c>
      <x:c r="F2" s="22" t="str"/>
    </x:row>
    <x:row r="3">
      <x:c r="A3" s="22" t="str">
        <x:v>CRM-0002</x:v>
      </x:c>
      <x:c r="B3" s="22" t="str">
        <x:v>2026-05-12</x:v>
      </x:c>
      <x:c r="C3" s="22" t="str">
        <x:v>Formulário site + Email</x:v>
      </x:c>
      <x:c r="D3" s="22" t="str">
        <x:v>Vânia Santos</x:v>
      </x:c>
      <x:c r="E3" s="22" t="str">
        <x:v>Cliente pediu valores e perguntou sobre limpezas profundas, gestão de consumíveis, preparação integral, fornecimento de roupas de cama/banho/cozinha. Purion respondeu com explicação e anexos.</x:v>
      </x:c>
      <x:c r="F3" s="22" t="str">
        <x:v>https://mail.google.com/mail/#all/19e1c0c8c2194e3e</x:v>
      </x:c>
    </x:row>
    <x:row r="4">
      <x:c r="A4" s="22" t="str">
        <x:v>CRM-0003</x:v>
      </x:c>
      <x:c r="B4" s="22" t="str">
        <x:v>2026-05-12</x:v>
      </x:c>
      <x:c r="C4" s="22" t="str">
        <x:v>WhatsApp</x:v>
      </x:c>
      <x:c r="D4" s="22" t="str">
        <x:v>Ana Mota</x:v>
      </x:c>
      <x:c r="E4" s="22" t="str">
        <x:v>Lead iniciou conversa pedindo orçamento para alojamento local. Confirmou 6 T0 no mesmo prédio nos Poveiros. Purion enviou preçário e explicou pacotes, lavandaria própria e reposição de consumíveis.</x:v>
      </x:c>
      <x:c r="F4" s="22" t="str"/>
    </x:row>
    <x:row r="5">
      <x:c r="A5" s="22" t="str">
        <x:v>CRM-0004</x:v>
      </x:c>
      <x:c r="B5" s="22" t="str">
        <x:v>2026-05-11</x:v>
      </x:c>
      <x:c r="C5" s="22" t="str">
        <x:v>Email</x:v>
      </x:c>
      <x:c r="D5" s="22" t="str">
        <x:v>Ivy Xing / Min Xing</x:v>
      </x:c>
      <x:c r="E5" s="22" t="str">
        <x:v>Cliente pediu limpeza de estúdio. Purion agendou 15/05/2026 das 10h às 12h. Cliente enviou dados fiscais: Min Xing, NIF 335809391.</x:v>
      </x:c>
      <x:c r="F5" s="22" t="str"/>
    </x:row>
    <x:row r="6">
      <x:c r="A6" s="22" t="str">
        <x:v>CRM-0005</x:v>
      </x:c>
      <x:c r="B6" s="22" t="str">
        <x:v>2026-05-04</x:v>
      </x:c>
      <x:c r="C6" s="22" t="str">
        <x:v>Formulário site + Email</x:v>
      </x:c>
      <x:c r="D6" s="22" t="str">
        <x:v>Anton Popov</x:v>
      </x:c>
      <x:c r="E6" s="22" t="str">
        <x:v>Serviço confirmado para 09/05/2026 das 11h às 15h. Cliente enviou comprovativo de pagamento. Purion enviou follow-up de feedback após serviço.</x:v>
      </x:c>
      <x:c r="F6" s="22" t="str">
        <x:v>https://mail.google.com/mail/#all/19df31170263836d</x:v>
      </x:c>
    </x:row>
    <x:row r="7">
      <x:c r="A7" s="22" t="str">
        <x:v>CRM-0006</x:v>
      </x:c>
      <x:c r="B7" s="22" t="str">
        <x:v>2026-04-30</x:v>
      </x:c>
      <x:c r="C7" s="22" t="str">
        <x:v>Formulário site + WhatsApp</x:v>
      </x:c>
      <x:c r="D7" s="22" t="str">
        <x:v>Maria Luís Antas de Barros</x:v>
      </x:c>
      <x:c r="E7" s="22" t="str">
        <x:v>Pedido recebido por formulário. Purion enviou apresentação e preçários. Cliente enviou WhatsApp e o grupo foi criado.</x:v>
      </x:c>
      <x:c r="F7" s="22" t="str">
        <x:v>https://mail.google.com/mail/#all/19de066af3d580df</x:v>
      </x:c>
    </x:row>
    <x:row r="8">
      <x:c r="A8" s="22" t="str">
        <x:v>CRM-0007</x:v>
      </x:c>
      <x:c r="B8" s="22" t="str">
        <x:v>2026-04-29</x:v>
      </x:c>
      <x:c r="C8" s="22" t="str">
        <x:v>Formulário site + Email</x:v>
      </x:c>
      <x:c r="D8" s="22" t="str">
        <x:v>Maria José Ribeiro / Maria Ribeiro</x:v>
      </x:c>
      <x:c r="E8" s="22" t="str">
        <x:v>Purion enviou apresentação e perguntas. Cliente respondeu com âmbito: apenas quartos. Depois confirmou modelo por quarto, produtos do hotel e referência operacional.</x:v>
      </x:c>
      <x:c r="F8" s="22" t="str">
        <x:v>https://mail.google.com/mail/#all/19dd9a342e6e5ff2</x:v>
      </x:c>
    </x:row>
    <x:row r="9">
      <x:c r="A9" s="22" t="str">
        <x:v>CRM-0008</x:v>
      </x:c>
      <x:c r="B9" s="22" t="str">
        <x:v>2026-04-30</x:v>
      </x:c>
      <x:c r="C9" s="22" t="str">
        <x:v>Formulário site + Email</x:v>
      </x:c>
      <x:c r="D9" s="22" t="str">
        <x:v>Susana Santos</x:v>
      </x:c>
      <x:c r="E9" s="22" t="str">
        <x:v>Pedido recebido pelo site. Purion enviou proposta/apresentação e depois follow-up sobre análise da proposta.</x:v>
      </x:c>
      <x:c r="F9" s="22" t="str">
        <x:v>https://mail.google.com/mail/#all/19dddff96382b5ff</x:v>
      </x:c>
    </x:row>
    <x:row r="10">
      <x:c r="A10" s="22" t="str">
        <x:v>CRM-0009</x:v>
      </x:c>
      <x:c r="B10" s="22" t="str">
        <x:v>2026-04-30</x:v>
      </x:c>
      <x:c r="C10" s="22" t="str">
        <x:v>Formulário site + Email</x:v>
      </x:c>
      <x:c r="D10" s="22" t="str">
        <x:v>Maria Armênia Vilas Boas</x:v>
      </x:c>
      <x:c r="E10" s="22" t="str">
        <x:v>Pedido recebido pelo site. Purion enviou apresentação/preçário e depois follow-up.</x:v>
      </x:c>
      <x:c r="F10" s="22" t="str">
        <x:v>https://mail.google.com/mail/#all/19ddd6f761c97510</x:v>
      </x:c>
    </x:row>
    <x:row r="11">
      <x:c r="A11" s="22" t="str">
        <x:v>CRM-0010</x:v>
      </x:c>
      <x:c r="B11" s="22" t="str">
        <x:v>2026-04-30</x:v>
      </x:c>
      <x:c r="C11" s="22" t="str">
        <x:v>Email</x:v>
      </x:c>
      <x:c r="D11" s="22" t="str">
        <x:v>Vinciane Arlen</x:v>
      </x:c>
      <x:c r="E11" s="22" t="str">
        <x:v>Cliente informou que tem prédio na Baixa do Porto com 5 apartamentos em AL. Purion respondeu em inglês com apresentação e preçários e enviou follow-up.</x:v>
      </x:c>
      <x:c r="F11" s="22" t="str">
        <x:v>https://mail.google.com/mail/#all/19ddd0ae74d5a04a</x:v>
      </x:c>
    </x:row>
    <x:row r="12">
      <x:c r="A12" s="22" t="str">
        <x:v>CRM-0011</x:v>
      </x:c>
      <x:c r="B12" s="22" t="str">
        <x:v>2026-04-29</x:v>
      </x:c>
      <x:c r="C12" s="22" t="str">
        <x:v>Email</x:v>
      </x:c>
      <x:c r="D12" s="22" t="str">
        <x:v>Sofia Lobato / Pedro Lobato</x:v>
      </x:c>
      <x:c r="E12" s="22" t="str">
        <x:v>Negociação de preços, amenities, Natal/Ano Novo, lavandaria e contrato. Cliente pediu contacto telefónico. Utilizador informou reunião presencial agendada para quarta.</x:v>
      </x:c>
      <x:c r="F12" s="22" t="str">
        <x:v>https://mail.google.com/mail/#all/19dd9d9b7d55ae2d</x:v>
      </x:c>
    </x:row>
    <x:row r="13">
      <x:c r="A13" s="22" t="str">
        <x:v>CRM-0012</x:v>
      </x:c>
      <x:c r="B13" s="22" t="str">
        <x:v>2026-05-01</x:v>
      </x:c>
      <x:c r="C13" s="22" t="str">
        <x:v>Email + WhatsApp</x:v>
      </x:c>
      <x:c r="D13" s="22" t="str">
        <x:v>Sónia Araújo / Victor Martins</x:v>
      </x:c>
      <x:c r="E13" s="22" t="str">
        <x:v>Representante contactou Purion para parceria. Purion respondeu e pediu clarificação. Houve alinhamento para reunião e contacto com Victor Martins; utilizador confirmou contacto por WhatsApp.</x:v>
      </x:c>
      <x:c r="F13" s="22" t="str">
        <x:v>https://mail.google.com/mail/#all/19de40468fed0b96</x:v>
      </x:c>
    </x:row>
    <x:row r="14">
      <x:c r="A14" s="22" t="str">
        <x:v>CRM-0013</x:v>
      </x:c>
      <x:c r="B14" s="22" t="str">
        <x:v>2026-05-06</x:v>
      </x:c>
      <x:c r="C14" s="22" t="str">
        <x:v>Formulário site + Email</x:v>
      </x:c>
      <x:c r="D14" s="22" t="str">
        <x:v>Ana Carvalho / Ana Silva</x:v>
      </x:c>
      <x:c r="E14" s="22" t="str">
        <x:v>Cliente enviou pedido e fotos. Utilizador informou que o caso já estava resolvido no operacional.</x:v>
      </x:c>
      <x:c r="F14" s="22" t="str">
        <x:v>https://mail.google.com/mail/#all/19dfaafd2a7e87bc</x:v>
      </x:c>
    </x:row>
    <x:row r="15">
      <x:c r="A15" s="22" t="str">
        <x:v>CRM-0014</x:v>
      </x:c>
      <x:c r="B15" s="22" t="str">
        <x:v>2026-05-08</x:v>
      </x:c>
      <x:c r="C15" s="22" t="str">
        <x:v>Email</x:v>
      </x:c>
      <x:c r="D15" s="22" t="str">
        <x:v>Mariana Neves</x:v>
      </x:c>
      <x:c r="E15" s="22" t="str">
        <x:v>Cliente pediu limpeza profunda. Purion agendou visita 11h30, realizou visita e enviou cotação e preçário de lavagem a seco.</x:v>
      </x:c>
      <x:c r="F15" s="22" t="str"/>
    </x:row>
    <x:row r="16">
      <x:c r="A16" s="22" t="str">
        <x:v>CRM-0015</x:v>
      </x:c>
      <x:c r="B16" s="22" t="str">
        <x:v>2026-04-28</x:v>
      </x:c>
      <x:c r="C16" s="22" t="str">
        <x:v>Email</x:v>
      </x:c>
      <x:c r="D16" s="22" t="str">
        <x:v>Rita Coutinho</x:v>
      </x:c>
      <x:c r="E16" s="22" t="str">
        <x:v>Cliente pediu orçamento para lojas. Purion respondeu e fez follow-up sobre orçamento enviado.</x:v>
      </x:c>
      <x:c r="F16" s="22" t="str">
        <x:v>https://mail.google.com/mail/#all/19dd3bf7a461ceb9</x:v>
      </x:c>
    </x:row>
    <x:row r="17">
      <x:c r="A17" s="22" t="str">
        <x:v>CRM-0016</x:v>
      </x:c>
      <x:c r="B17" s="22" t="str">
        <x:v>2026-04-28</x:v>
      </x:c>
      <x:c r="C17" s="22" t="str">
        <x:v>Instagram + Email</x:v>
      </x:c>
      <x:c r="D17" s="22" t="str">
        <x:v>António D. Quintas Leite</x:v>
      </x:c>
      <x:c r="E17" s="22" t="str">
        <x:v>Contacto iniciado no Instagram; cliente pediu tabela por email. Depois informou que colega Daniela entraria em contacto. Purion enviou follow-up.</x:v>
      </x:c>
      <x:c r="F17" s="22" t="str">
        <x:v>https://mail.google.com/mail/#all/19dcb849b8a308ea</x:v>
      </x:c>
    </x:row>
    <x:row r="18">
      <x:c r="A18" s="22" t="str">
        <x:v>CRM-0017</x:v>
      </x:c>
      <x:c r="B18" s="22" t="str">
        <x:v>2026-04-27</x:v>
      </x:c>
      <x:c r="C18" s="22" t="str">
        <x:v>Email</x:v>
      </x:c>
      <x:c r="D18" s="22" t="str">
        <x:v>Gabriela Oliveira</x:v>
      </x:c>
      <x:c r="E18" s="22" t="str">
        <x:v>Cliente apresentou projeto de gestão de AL. Purion enviou apresentação e preçário e depois follow-up.</x:v>
      </x:c>
      <x:c r="F18" s="22" t="str">
        <x:v>https://mail.google.com/mail/#all/19dcf8d5c40b7178</x:v>
      </x:c>
    </x:row>
    <x:row r="19">
      <x:c r="A19" s="22" t="str">
        <x:v>CRM-0018</x:v>
      </x:c>
      <x:c r="B19" s="22" t="str">
        <x:v>2026-04-26</x:v>
      </x:c>
      <x:c r="C19" s="22" t="str">
        <x:v>Presencial + Email</x:v>
      </x:c>
      <x:c r="D19" s="22" t="str">
        <x:v>Cristina</x:v>
      </x:c>
      <x:c r="E19" s="22" t="str">
        <x:v>Purion enviou preçário após conversa presencial no escritório. Follow-up enviado posteriormente.</x:v>
      </x:c>
      <x:c r="F19" s="22" t="str">
        <x:v>https://mail.google.com/mail/#all/19daba135be33f26</x:v>
      </x:c>
    </x:row>
    <x:row r="20">
      <x:c r="A20" s="22" t="str">
        <x:v>CRM-0019</x:v>
      </x:c>
      <x:c r="B20" s="22" t="str">
        <x:v>2026-04-24</x:v>
      </x:c>
      <x:c r="C20" s="22" t="str">
        <x:v>Email</x:v>
      </x:c>
      <x:c r="D20" s="22" t="str">
        <x:v>Euskalduna / Cristina Leal</x:v>
      </x:c>
      <x:c r="E20" s="22" t="str">
        <x:v>Purion enviou fatura das limpezas realizadas no restaurante, escritório e padaria. Cliente indicou que fatura estava para pagamento.</x:v>
      </x:c>
      <x:c r="F20" s="22" t="str">
        <x:v>https://mail.google.com/mail/#all/19dbff230afba81c</x:v>
      </x:c>
    </x:row>
    <x:row r="21">
      <x:c r="A21" s="22" t="str">
        <x:v>CRM-0020</x:v>
      </x:c>
      <x:c r="B21" s="22" t="str">
        <x:v>2026-04-17</x:v>
      </x:c>
      <x:c r="C21" s="22" t="str">
        <x:v>Email</x:v>
      </x:c>
      <x:c r="D21" s="22" t="str">
        <x:v>Euskalduna / Contas Cósmicas</x:v>
      </x:c>
      <x:c r="E21" s="22" t="str">
        <x:v>Cliente pediu associar novo serviço à Contas Cósmicas. Purion confirmou condições e utilizador indicou que já estava agendado.</x:v>
      </x:c>
      <x:c r="F21" s="22" t="str">
        <x:v>https://mail.google.com/mail/#all/19d9ab22e901552a</x:v>
      </x:c>
    </x:row>
    <x:row r="22">
      <x:c r="A22" s="22" t="str">
        <x:v>CRM-0021</x:v>
      </x:c>
      <x:c r="B22" s="22" t="str">
        <x:v>2026-04-23</x:v>
      </x:c>
      <x:c r="C22" s="22" t="str">
        <x:v>Email</x:v>
      </x:c>
      <x:c r="D22" s="22" t="str">
        <x:v>Pedro Viana</x:v>
      </x:c>
      <x:c r="E22" s="22" t="str">
        <x:v>Cliente marcou reunião no prédio com 3 apartamentos. Depois Purion enviou fatura correspondente a serviços prestados.</x:v>
      </x:c>
      <x:c r="F22" s="22" t="str">
        <x:v>https://mail.google.com/mail/#all/19db570ed68a7c07</x:v>
      </x:c>
    </x:row>
    <x:row r="23">
      <x:c r="A23" s="22" t="str">
        <x:v>CRM-0022</x:v>
      </x:c>
      <x:c r="B23" s="22" t="str">
        <x:v>2026-04-23</x:v>
      </x:c>
      <x:c r="C23" s="22" t="str">
        <x:v>Email</x:v>
      </x:c>
      <x:c r="D23" s="22" t="str">
        <x:v>Catarina Brandão</x:v>
      </x:c>
      <x:c r="E23" s="22" t="str">
        <x:v>Cliente confirmou horário e morada. Purion enviou cotações em anexo.</x:v>
      </x:c>
      <x:c r="F23" s="22" t="str">
        <x:v>https://mail.google.com/mail/#all/19dbb9b4d3b30d7e</x:v>
      </x:c>
    </x:row>
    <x:row r="24">
      <x:c r="A24" s="22" t="str">
        <x:v>CRM-0023</x:v>
      </x:c>
      <x:c r="B24" s="22" t="str">
        <x:v>2026-04-21</x:v>
      </x:c>
      <x:c r="C24" s="22" t="str">
        <x:v>Formulário site + Email</x:v>
      </x:c>
      <x:c r="D24" s="22" t="str">
        <x:v>Joana Costa Monteiro</x:v>
      </x:c>
      <x:c r="E24" s="22" t="str">
        <x:v>Pedido recebido por formulário. Purion enviou cotação pós-obras.</x:v>
      </x:c>
      <x:c r="F24" s="22" t="str">
        <x:v>https://mail.google.com/mail/#all/19db1c7a876898ea</x:v>
      </x:c>
    </x:row>
    <x:row r="25">
      <x:c r="A25" s="22" t="str">
        <x:v>CRM-0024</x:v>
      </x:c>
      <x:c r="B25" s="22" t="str">
        <x:v>2026-04-21</x:v>
      </x:c>
      <x:c r="C25" s="22" t="str">
        <x:v>Formulário site + Email</x:v>
      </x:c>
      <x:c r="D25" s="22" t="str">
        <x:v>Anita</x:v>
      </x:c>
      <x:c r="E25" s="22" t="str">
        <x:v>Pedido recebido por formulário. Purion enviou anexos de apresentação e preçários.</x:v>
      </x:c>
      <x:c r="F25" s="22" t="str">
        <x:v>https://mail.google.com/mail/#all/19db08361e89ef07</x:v>
      </x:c>
    </x:row>
    <x:row r="26">
      <x:c r="A26" s="22" t="str">
        <x:v>CRM-0025</x:v>
      </x:c>
      <x:c r="B26" s="22" t="str">
        <x:v>2026-04-20</x:v>
      </x:c>
      <x:c r="C26" s="22" t="str">
        <x:v>Email</x:v>
      </x:c>
      <x:c r="D26" s="22" t="str">
        <x:v>Cláudia Falley</x:v>
      </x:c>
      <x:c r="E26" s="22" t="str">
        <x:v>Purion enviou informações e anexos. Cliente respondeu que iria analisar, fazer contas e combinar visita.</x:v>
      </x:c>
      <x:c r="F26" s="22" t="str">
        <x:v>https://mail.google.com/mail/#all/19dabb2f110d6514</x:v>
      </x:c>
    </x:row>
    <x:row r="27">
      <x:c r="A27" s="22" t="str">
        <x:v>CRM-0026</x:v>
      </x:c>
      <x:c r="B27" s="22" t="str">
        <x:v>2026-04-20</x:v>
      </x:c>
      <x:c r="C27" s="22" t="str">
        <x:v>Email</x:v>
      </x:c>
      <x:c r="D27" s="22" t="str">
        <x:v>Cristina</x:v>
      </x:c>
      <x:c r="E27" s="22" t="str">
        <x:v>Registo separado mantido por email específico com erro no assunto “Puion”.</x:v>
      </x:c>
      <x:c r="F27" s="22" t="str">
        <x:v>https://mail.google.com/mail/#all/19daba135be33f26</x:v>
      </x:c>
    </x:row>
    <x:row r="28">
      <x:c r="A28" s="22" t="str">
        <x:v>CRM-0027</x:v>
      </x:c>
      <x:c r="B28" s="22" t="str">
        <x:v>2026-04-16</x:v>
      </x:c>
      <x:c r="C28" s="22" t="str">
        <x:v>Formulário site + Email</x:v>
      </x:c>
      <x:c r="D28" s="22" t="str">
        <x:v>Jenelle Gallagher</x:v>
      </x:c>
      <x:c r="E28" s="22" t="str">
        <x:v>Pedido recebido por formulário. Purion solicitou detalhes: casa/apartamento T0/T1/T2/escritório e localização.</x:v>
      </x:c>
      <x:c r="F28" s="22" t="str">
        <x:v>https://mail.google.com/mail/#all/19d927154648ddc6</x:v>
      </x:c>
    </x:row>
    <x:row r="29">
      <x:c r="A29" s="22" t="str">
        <x:v>CRM-0028</x:v>
      </x:c>
      <x:c r="B29" s="22" t="str">
        <x:v>2026-04-15</x:v>
      </x:c>
      <x:c r="C29" s="22" t="str">
        <x:v>Formulário site + Email</x:v>
      </x:c>
      <x:c r="D29" s="22" t="str">
        <x:v>José Fernando Carpinteiro</x:v>
      </x:c>
      <x:c r="E29" s="22" t="str">
        <x:v>Purion perguntou tipologia e tipo de limpeza. Cliente respondeu T3 pequeno/profunda. Purion enviou valor e pediu morada.</x:v>
      </x:c>
      <x:c r="F29" s="22" t="str">
        <x:v>https://mail.google.com/mail/#all/19d90bacbe6ebd96</x:v>
      </x:c>
    </x:row>
    <x:row r="30">
      <x:c r="A30" s="22" t="str">
        <x:v>CRM-0029</x:v>
      </x:c>
      <x:c r="B30" s="22" t="str">
        <x:v>2026-04-13</x:v>
      </x:c>
      <x:c r="C30" s="22" t="str">
        <x:v>Formulário site + Email</x:v>
      </x:c>
      <x:c r="D30" s="22" t="str">
        <x:v>Yulia Abasheva</x:v>
      </x:c>
      <x:c r="E30" s="22" t="str">
        <x:v>Pedido recebido por formulário. Purion enviou valor e pediu morada.</x:v>
      </x:c>
      <x:c r="F30" s="22" t="str">
        <x:v>https://mail.google.com/mail/#all/19d876d8798e63d8</x:v>
      </x:c>
    </x:row>
    <x:row r="31">
      <x:c r="A31" s="22" t="str">
        <x:v>CRM-0030</x:v>
      </x:c>
      <x:c r="B31" s="22" t="str">
        <x:v>2026-04-13</x:v>
      </x:c>
      <x:c r="C31" s="22" t="str">
        <x:v>Formulário site + Email</x:v>
      </x:c>
      <x:c r="D31" s="22" t="str">
        <x:v>Luisa Oliveira</x:v>
      </x:c>
      <x:c r="E31" s="22" t="str">
        <x:v>Pedido recebido por formulário. Purion enviou orçamento de 61,50€ por 2 horas.</x:v>
      </x:c>
      <x:c r="F31" s="22" t="str">
        <x:v>https://mail.google.com/mail/#all/19d876be6aa0a4c1</x:v>
      </x:c>
    </x:row>
    <x:row r="32">
      <x:c r="A32" s="22" t="str">
        <x:v>CRM-0031</x:v>
      </x:c>
      <x:c r="B32" s="22" t="str">
        <x:v>2026-03-25</x:v>
      </x:c>
      <x:c r="C32" s="22" t="str">
        <x:v>Email</x:v>
      </x:c>
      <x:c r="D32" s="22" t="str">
        <x:v>Fátima Camacho</x:v>
      </x:c>
      <x:c r="E32" s="22" t="str">
        <x:v>Cliente aceitou colaboração, serviço foi realizado, cliente ficou satisfeita, faturas corrigidas/enviadas e pagamento confirmado.</x:v>
      </x:c>
      <x:c r="F32" s="22" t="str">
        <x:v>https://mail.google.com/mail/#all/19d25bcb0bba6615</x:v>
      </x:c>
    </x:row>
    <x:row r="33">
      <x:c r="A33" s="22" t="str">
        <x:v>CRM-0032</x:v>
      </x:c>
      <x:c r="B33" s="22" t="str">
        <x:v>2026-04-10</x:v>
      </x:c>
      <x:c r="C33" s="22" t="str">
        <x:v>Email</x:v>
      </x:c>
      <x:c r="D33" s="22" t="str">
        <x:v>José Pinto</x:v>
      </x:c>
      <x:c r="E33" s="22" t="str">
        <x:v>Cliente informou que aguardava ser adicionado ao grupo de WhatsApp e instruções para acesso às reservas; lembrou check-out no domingo.</x:v>
      </x:c>
      <x:c r="F33" s="22" t="str">
        <x:v>https://mail.google.com/mail/#all/19d781309d2988ad</x:v>
      </x:c>
    </x:row>
    <x:row r="34">
      <x:c r="A34" s="22" t="str">
        <x:v>CRM-0033</x:v>
      </x:c>
      <x:c r="B34" s="22" t="str">
        <x:v>2026-04-08</x:v>
      </x:c>
      <x:c r="C34" s="22" t="str">
        <x:v>Email</x:v>
      </x:c>
      <x:c r="D34" s="22" t="str">
        <x:v>Marta / Operations</x:v>
      </x:c>
      <x:c r="E34" s="22" t="str">
        <x:v>Purion enviou proposta com apresentação e depois valores reduzidos para prestação de serviços ao hotel.</x:v>
      </x:c>
      <x:c r="F34" s="22" t="str">
        <x:v>https://mail.google.com/mail/#all/19d6e21627f90138</x:v>
      </x:c>
    </x:row>
    <x:row r="35">
      <x:c r="A35" s="22" t="str">
        <x:v>CRM-0034</x:v>
      </x:c>
      <x:c r="B35" s="22" t="str">
        <x:v>2026-04-08</x:v>
      </x:c>
      <x:c r="C35" s="22" t="str">
        <x:v>Formulário site + Email</x:v>
      </x:c>
      <x:c r="D35" s="22" t="str">
        <x:v>Afonso Cruz</x:v>
      </x:c>
      <x:c r="E35" s="22" t="str">
        <x:v>Purion respondeu com valores para T1 e T0 e enviou apresentação.</x:v>
      </x:c>
      <x:c r="F35" s="22" t="str">
        <x:v>https://mail.google.com/mail/#all/19d6dfc04ae712c7</x:v>
      </x:c>
    </x:row>
    <x:row r="36">
      <x:c r="A36" s="22" t="str">
        <x:v>CRM-0035</x:v>
      </x:c>
      <x:c r="B36" s="22" t="str">
        <x:v>2026-04-08</x:v>
      </x:c>
      <x:c r="C36" s="22" t="str">
        <x:v>Formulário site + Email</x:v>
      </x:c>
      <x:c r="D36" s="22" t="str">
        <x:v>Sergio Vilas</x:v>
      </x:c>
      <x:c r="E36" s="22" t="str">
        <x:v>Purion respondeu com valor e solicitou fotos adicionais da área do terraço.</x:v>
      </x:c>
      <x:c r="F36" s="22" t="str">
        <x:v>https://mail.google.com/mail/#all/19d6c3e7172b55a0</x:v>
      </x:c>
    </x:row>
    <x:row r="37">
      <x:c r="A37" s="22" t="str">
        <x:v>CRM-0036</x:v>
      </x:c>
      <x:c r="B37" s="22" t="str">
        <x:v>2026-04-07</x:v>
      </x:c>
      <x:c r="C37" s="22" t="str">
        <x:v>Email</x:v>
      </x:c>
      <x:c r="D37" s="22" t="str">
        <x:v>Susana Marques</x:v>
      </x:c>
      <x:c r="E37" s="22" t="str">
        <x:v>Cliente pediu orçamento para pacote mais completo com lavandaria e roupa Purion. Purion enviou preços de AL e apresentação.</x:v>
      </x:c>
      <x:c r="F37" s="22" t="str">
        <x:v>https://mail.google.com/mail/#all/19d68e5e28d87054</x:v>
      </x:c>
    </x:row>
    <x:row r="38">
      <x:c r="A38" s="22" t="str">
        <x:v>CRM-0037</x:v>
      </x:c>
      <x:c r="B38" s="22" t="str">
        <x:v>2026-04-21</x:v>
      </x:c>
      <x:c r="C38" s="22" t="str">
        <x:v>Formulário site</x:v>
      </x:c>
      <x:c r="D38" s="22" t="str">
        <x:v>Leonilda Almeida</x:v>
      </x:c>
      <x:c r="E38" s="22" t="str">
        <x:v>FormSubmit recebido múltiplas vezes com nome, telefone e email. Conteúdo detalhado não aberto nesta versão.</x:v>
      </x:c>
      <x:c r="F38" s="22" t="str">
        <x:v>https://mail.google.com/mail/#all/19d72902dc7f58c1</x:v>
      </x:c>
    </x:row>
    <x:row r="39">
      <x:c r="A39" s="22" t="str">
        <x:v>CRM-0038</x:v>
      </x:c>
      <x:c r="B39" s="22" t="str">
        <x:v>2026-05-07</x:v>
      </x:c>
      <x:c r="C39" s="22" t="str">
        <x:v>Email</x:v>
      </x:c>
      <x:c r="D39" s="22" t="str">
        <x:v>Reception</x:v>
      </x:c>
      <x:c r="E39" s="22" t="str">
        <x:v>Purion enviou follow-up perguntando se tinham analisado preçários enviados para estúdios na Baixa.</x:v>
      </x:c>
      <x:c r="F39" s="22" t="str">
        <x:v>https://mail.google.com/mail/#all/19e02e6b78ccd705</x:v>
      </x:c>
    </x:row>
    <x:row r="40">
      <x:c r="A40" s="22" t="str">
        <x:v>CRM-0039</x:v>
      </x:c>
      <x:c r="B40" s="22" t="str">
        <x:v>2026-05-07</x:v>
      </x:c>
      <x:c r="C40" s="22" t="str">
        <x:v>Email / Rascunho</x:v>
      </x:c>
      <x:c r="D40" s="22" t="str">
        <x:v>Olga</x:v>
      </x:c>
      <x:c r="E40" s="22" t="str">
        <x:v>Há rascunho de follow-up para proposta enviada sobre limpeza e manutenção de apartamentos.</x:v>
      </x:c>
      <x:c r="F40" s="22" t="str">
        <x:v>https://mail.google.com/mail/#all/19e02db8135268db</x:v>
      </x:c>
    </x:row>
    <x:row r="41">
      <x:c r="A41" s="22" t="str">
        <x:v>CRM-0040</x:v>
      </x:c>
      <x:c r="B41" s="22" t="str">
        <x:v>2026-05-07</x:v>
      </x:c>
      <x:c r="C41" s="22" t="str">
        <x:v>Formulário site + Email</x:v>
      </x:c>
      <x:c r="D41" s="22" t="str">
        <x:v>Elizane Macedo</x:v>
      </x:c>
      <x:c r="E41" s="22" t="str">
        <x:v>Purion enviou informações/preçário e depois follow-up.</x:v>
      </x:c>
      <x:c r="F41" s="22" t="str"/>
    </x:row>
    <x:row r="42">
      <x:c r="A42" s="22" t="str">
        <x:v>CRM-0041</x:v>
      </x:c>
      <x:c r="B42" s="22" t="str">
        <x:v>2026-05-09</x:v>
      </x:c>
      <x:c r="C42" s="22" t="str">
        <x:v>Email</x:v>
      </x:c>
      <x:c r="D42" s="22" t="str">
        <x:v>Ana Varela</x:v>
      </x:c>
      <x:c r="E42" s="22" t="str">
        <x:v>Purion enviou cotação a Ana Varela/Prummo; um envio para gestao@prummo.pt devolveu erro de entrega e houve envio para geral@prummo.pt.</x:v>
      </x:c>
      <x:c r="F42" s="22" t="str"/>
    </x:row>
    <x:row r="43">
      <x:c r="A43" s="22" t="str">
        <x:v>CRM-0042</x:v>
      </x:c>
      <x:c r="B43" s="22" t="str">
        <x:v>2026-05-12</x:v>
      </x:c>
      <x:c r="C43" s="22" t="str">
        <x:v>Email</x:v>
      </x:c>
      <x:c r="D43" s="22" t="str">
        <x:v>Carina Alves Oliveira</x:v>
      </x:c>
      <x:c r="E43" s="22" t="str">
        <x:v>Purion enviou follow-up perguntando se cliente analisou a proposta anterior.</x:v>
      </x:c>
      <x:c r="F43" s="22" t="str"/>
    </x:row>
    <x:row r="44">
      <x:c r="A44" s="22" t="str">
        <x:v>CRM-0003</x:v>
      </x:c>
      <x:c r="B44" s="22" t="str">
        <x:v>2026-05-13</x:v>
      </x:c>
      <x:c r="C44" s="22" t="str">
        <x:v>WhatsApp</x:v>
      </x:c>
      <x:c r="D44" s="22" t="str">
        <x:v>Ana Mota</x:v>
      </x:c>
      <x:c r="E44" s="22" t="str">
        <x:v>Ana Mota informou: “são 6 quartos T0 (sem cozinha, apenas chaleira e mini frigorífico) e gostaríamos de limpeza sempre que houver saída e entrada”. Depois confirmou: “Não, são 6 T0 no mesmo prédio”.</x:v>
      </x:c>
      <x:c r="F44" s="22" t="str"/>
    </x:row>
    <x:row r="45">
      <x:c r="A45" s="22" t="str">
        <x:v>CRM-0007</x:v>
      </x:c>
      <x:c r="B45" s="22" t="str">
        <x:v>2026-05-12</x:v>
      </x:c>
      <x:c r="C45" s="22" t="str">
        <x:v>Email</x:v>
      </x:c>
      <x:c r="D45" s="22" t="str">
        <x:v>Maria Ribeiro / IHG</x:v>
      </x:c>
      <x:c r="E45" s="22" t="str">
        <x:v>Cliente informou que pretende faturação por quarto limpo, produtos e consumíveis assegurados pelo hotel, produtividade de referência de 13 quartos por colaborador em turno de 8h e âmbito exclusivo para quartos.</x:v>
      </x:c>
      <x:c r="F45" s="22" t="str"/>
    </x:row>
    <x:row r="46">
      <x:c r="A46" s="22" t="str">
        <x:v>CRM-0011</x:v>
      </x:c>
      <x:c r="B46" s="22" t="str">
        <x:v>2026-05-11</x:v>
      </x:c>
      <x:c r="C46" s="22" t="str">
        <x:v>Email</x:v>
      </x:c>
      <x:c r="D46" s="22" t="str">
        <x:v>Porto Haven</x:v>
      </x:c>
      <x:c r="E46" s="22" t="str">
        <x:v>Cliente tentou contacto telefónico e pediu retorno para +351 910109294. Anteriormente indicou urgência para entregar roupas e iniciar operações em 18 de Maio.</x:v>
      </x:c>
      <x:c r="F46" s="22" t="str"/>
    </x:row>
    <x:row r="47">
      <x:c r="A47" s="22" t="str">
        <x:v>CRM-0031</x:v>
      </x:c>
      <x:c r="B47" s="22" t="str">
        <x:v>2026-04-17</x:v>
      </x:c>
      <x:c r="C47" s="22" t="str">
        <x:v>Email</x:v>
      </x:c>
      <x:c r="D47" s="22" t="str">
        <x:v>Vivofácil</x:v>
      </x:c>
      <x:c r="E47" s="22" t="str">
        <x:v>Purion confirmou recebimento do pagamento da fatura.</x:v>
      </x:c>
      <x:c r="F47" s="22" t="str">
        <x:v>https://mail.google.com/mail/#all/19d9b32327e555ac</x:v>
      </x:c>
    </x:row>
    <x:row r="48">
      <x:c r="A48" s="22" t="str">
        <x:v>CRM-0015</x:v>
      </x:c>
      <x:c r="B48" s="22" t="str">
        <x:v>2026-05-13</x:v>
      </x:c>
      <x:c r="C48" s="22" t="str">
        <x:v>Email recebido</x:v>
      </x:c>
      <x:c r="D48" s="22" t="str">
        <x:v>Dama de Copas / Rita Coutinho</x:v>
      </x:c>
      <x:c r="E48" s="22" t="str">
        <x:v>Cliente respondeu que a gerência ainda se encontra a rever a proposta e que entrará em contacto quando tiver feedback.</x:v>
      </x:c>
      <x:c r="F48" s="22" t="str">
        <x:v>https://mail.google.com/mail/#all/19e2070467209474</x:v>
      </x:c>
    </x:row>
    <x:row r="49">
      <x:c r="A49" s="22" t="str">
        <x:v>CRM-0043</x:v>
      </x:c>
      <x:c r="B49" s="22" t="str">
        <x:v>2026-05-13</x:v>
      </x:c>
      <x:c r="C49" s="22" t="str">
        <x:v>Novo pedido de orçamento</x:v>
      </x:c>
      <x:c r="D49" s="22" t="str">
        <x:v>Sandra Silva / Home Porto</x:v>
      </x:c>
      <x:c r="E49" s="22" t="str">
        <x:v>Pedido recebido pelo formulário do site. Cliente procura equipa de limpeza para várias unidades T0, T1 e T2 em alojamento local no Porto e solicita proposta com condições operacionais completas.</x:v>
      </x:c>
      <x:c r="F49" s="22" t="str">
        <x:v>https://mail.google.com/mail/#all/19e2091e3992fddf</x:v>
      </x:c>
    </x:row>
    <x:row r="50">
      <x:c r="A50" s="22" t="str">
        <x:v>CRM-0005</x:v>
      </x:c>
      <x:c r="B50" s="22" t="str">
        <x:v>2026-05-07</x:v>
      </x:c>
      <x:c r="C50" s="22" t="str">
        <x:v>Email recebido</x:v>
      </x:c>
      <x:c r="D50" s="22" t="str">
        <x:v>Anton Popov</x:v>
      </x:c>
      <x:c r="E50" s="22" t="str">
        <x:v>Cliente enviou comprovativo de pagamento em anexo e confirmou presença no dia 09/05/2026 às 11h00 na morada indicada. Status do CRM corrigido para Faturado / pago.</x:v>
      </x:c>
      <x:c r="F50" s="22" t="str">
        <x:v>https://mail.google.com/mail/#all/19e02b1f94bae9e9</x:v>
      </x:c>
    </x:row>
  </x:sheetData>
  <x:pageMargins left="0.7" right="0.7" top="0.75" bottom="0.75" header="0.3" footer="0.3"/>
  <x:tableParts count="1">
    <x:tablePart xmlns:r="http://schemas.openxmlformats.org/officeDocument/2006/relationships" r:id="R3d8c41ef92f24c6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60" hidden="0" customWidth="1"/>
  </x:cols>
  <x:sheetData>
    <x:row r="1">
      <x:c r="A1" s="6" t="str">
        <x:v>Data</x:v>
      </x:c>
      <x:c r="B1" s="6" t="str">
        <x:v>Nome</x:v>
      </x:c>
      <x:c r="C1" s="6" t="str">
        <x:v>Email</x:v>
      </x:c>
      <x:c r="D1" s="6" t="str">
        <x:v>Telefone</x:v>
      </x:c>
      <x:c r="E1" s="6" t="str">
        <x:v>Origem</x:v>
      </x:c>
      <x:c r="F1" s="6" t="str">
        <x:v>Tipo</x:v>
      </x:c>
      <x:c r="G1" s="6" t="str">
        <x:v>Histórico</x:v>
      </x:c>
    </x:row>
    <x:row r="2">
      <x:c r="A2" s="22" t="str">
        <x:v>2026-04-22</x:v>
      </x:c>
      <x:c r="B2" s="22" t="str">
        <x:v>Liliana Viegas</x:v>
      </x:c>
      <x:c r="C2" s="22" t="str">
        <x:v>viegas.liliana@gmail.com</x:v>
      </x:c>
      <x:c r="D2" s="22" t="str"/>
      <x:c r="E2" s="22" t="str">
        <x:v>Email</x:v>
      </x:c>
      <x:c r="F2" s="22" t="str">
        <x:v>Candidatura / emprego</x:v>
      </x:c>
      <x:c r="G2" s="22" t="str">
        <x:v>Procura trabalho de limpeza por cerca de três horas, experiência em limpeza, disponibilidade à tarde.</x:v>
      </x:c>
    </x:row>
    <x:row r="3">
      <x:c r="A3" s="22" t="str">
        <x:v>2026-04-21</x:v>
      </x:c>
      <x:c r="B3" s="22" t="str">
        <x:v>Caroline Cavalare</x:v>
      </x:c>
      <x:c r="C3" s="22" t="str">
        <x:v>carolinecavalare@icloud.com</x:v>
      </x:c>
      <x:c r="D3" s="22" t="str"/>
      <x:c r="E3" s="22" t="str">
        <x:v>Email</x:v>
      </x:c>
      <x:c r="F3" s="22" t="str">
        <x:v>Candidatura / CV</x:v>
      </x:c>
      <x:c r="G3" s="22" t="str">
        <x:v>Candidatura espontânea; reside perto do Estádio do Dragão; disponibilidade para limpeza 40h/semana.</x:v>
      </x:c>
    </x:row>
    <x:row r="4">
      <x:c r="A4" s="22" t="str">
        <x:v>2026-04-20</x:v>
      </x:c>
      <x:c r="B4" s="22" t="str">
        <x:v>Nizam Uddin</x:v>
      </x:c>
      <x:c r="C4" s="22" t="str">
        <x:v>shiblu123311@gmail.com</x:v>
      </x:c>
      <x:c r="D4" s="22" t="str"/>
      <x:c r="E4" s="22" t="str">
        <x:v>Email</x:v>
      </x:c>
      <x:c r="F4" s="22" t="str">
        <x:v>Candidatura / CV</x:v>
      </x:c>
      <x:c r="G4" s="22" t="str">
        <x:v>Candidatura à vaga de empregada doméstica/faxineira/auxiliar de limpeza.</x:v>
      </x:c>
    </x:row>
    <x:row r="5">
      <x:c r="A5" s="22" t="str">
        <x:v>2026-04-09</x:v>
      </x:c>
      <x:c r="B5" s="22" t="str">
        <x:v>Leticia Santos</x:v>
      </x:c>
      <x:c r="C5" s="22" t="str">
        <x:v>lety.sangos8@gmail.com</x:v>
      </x:c>
      <x:c r="D5" s="22" t="str"/>
      <x:c r="E5" s="22" t="str">
        <x:v>Email</x:v>
      </x:c>
      <x:c r="F5" s="22" t="str">
        <x:v>Candidatura / emprego</x:v>
      </x:c>
      <x:c r="G5" s="22" t="str">
        <x:v>Interesse em trabalhar em alojamento, hotel ou empresa; reside em 24 de Agosto, Porto.</x:v>
      </x:c>
    </x:row>
  </x:sheetData>
  <x:pageMargins left="0.7" right="0.7" top="0.75" bottom="0.75" header="0.3" footer="0.3"/>
  <x:tableParts count="1">
    <x:tablePart xmlns:r="http://schemas.openxmlformats.org/officeDocument/2006/relationships" r:id="R54ce0c5d8e454a3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42" hidden="0" customWidth="1"/>
  </x:cols>
  <x:sheetData>
    <x:row r="1">
      <x:c r="A1" s="24" t="str">
        <x:v>CRM Purion — Resumo de Controlo</x:v>
      </x:c>
      <x:c r="B1" t="str"/>
      <x:c r="C1" t="str"/>
      <x:c r="D1" t="str"/>
    </x:row>
    <x:row r="2">
      <x:c r="A2" s="28" t="str">
        <x:v>Indicador</x:v>
      </x:c>
      <x:c r="B2" s="28" t="str">
        <x:v>Valor</x:v>
      </x:c>
      <x:c r="C2" s="28" t="str">
        <x:v>Observação</x:v>
      </x:c>
      <x:c r="D2" t="str"/>
    </x:row>
    <x:row r="3">
      <x:c r="A3" t="str">
        <x:v>Total de leads</x:v>
      </x:c>
      <x:c r="B3" t="n">
        <x:f>COUNTA(CRM_Leads!A2:A44)</x:f>
        <x:v>43</x:v>
      </x:c>
      <x:c r="C3" t="str">
        <x:v>Registos comerciais únicos</x:v>
      </x:c>
      <x:c r="D3" t="str"/>
    </x:row>
    <x:row r="4">
      <x:c r="A4" t="str">
        <x:v>Leads pagos/faturados</x:v>
      </x:c>
      <x:c r="B4" t="n">
        <x:f>COUNTIF(CRM_Leads!P2:P44,"Sim")</x:f>
        <x:v>4</x:v>
      </x:c>
      <x:c r="C4" t="str">
        <x:v>Coluna Pago / Faturado</x:v>
      </x:c>
      <x:c r="D4" t="str"/>
    </x:row>
    <x:row r="5">
      <x:c r="A5" t="str">
        <x:v>Potencial recorrente</x:v>
      </x:c>
      <x:c r="B5" t="n">
        <x:f>COUNTIF(CRM_Leads!Q2:Q44,"*Recorrente*")</x:f>
        <x:v>0</x:v>
      </x:c>
      <x:c r="C5" t="str">
        <x:v>Inclui potencial recorrente</x:v>
      </x:c>
      <x:c r="D5" t="str"/>
    </x:row>
    <x:row r="6">
      <x:c r="A6" t="str">
        <x:v>Novos / qualificação</x:v>
      </x:c>
      <x:c r="B6" t="n">
        <x:f>COUNTIF(CRM_Leads!M2:M44,"*qualificação*")</x:f>
        <x:v>0</x:v>
      </x:c>
      <x:c r="C6" t="str">
        <x:v>Etapa comercial</x:v>
      </x:c>
      <x:c r="D6" t="str"/>
    </x:row>
    <x:row r="7">
      <x:c r="A7" t="str">
        <x:v>Propostas enviadas</x:v>
      </x:c>
      <x:c r="B7" t="n">
        <x:f>COUNTIF(CRM_Leads!M2:M44,"*Proposta*")+COUNTIF(CRM_Leads!M2:M44,"*orçamento*")</x:f>
        <x:v>0</x:v>
      </x:c>
      <x:c r="C7" t="str">
        <x:v>Etapa comercial</x:v>
      </x:c>
      <x:c r="D7" t="str"/>
    </x:row>
    <x:row r="8">
      <x:c r="A8" t="str"/>
      <x:c r="B8" t="str"/>
      <x:c r="C8" t="str"/>
      <x:c r="D8" t="str"/>
    </x:row>
    <x:row r="9">
      <x:c r="A9" t="str">
        <x:v>Instruções</x:v>
      </x:c>
      <x:c r="B9" t="str"/>
      <x:c r="C9" t="str"/>
      <x:c r="D9" t="str"/>
    </x:row>
    <x:row r="10">
      <x:c r="A10" t="str">
        <x:v>1</x:v>
      </x:c>
      <x:c r="B10" t="str">
        <x:v>Atualizar a folha CRM_Leads.</x:v>
      </x:c>
      <x:c r="C10" t="str"/>
      <x:c r="D10" t="str"/>
    </x:row>
    <x:row r="11">
      <x:c r="A11" t="str">
        <x:v>2</x:v>
      </x:c>
      <x:c r="B11" t="str">
        <x:v>Manter o nome da folha como CRM_Leads.</x:v>
      </x:c>
      <x:c r="C11" t="str"/>
      <x:c r="D11" t="str"/>
    </x:row>
    <x:row r="12">
      <x:c r="A12" t="str">
        <x:v>3</x:v>
      </x:c>
      <x:c r="B12" t="str">
        <x:v>Manter os cabeçalhos atuais. O dashboard HTML depende deles.</x:v>
      </x:c>
      <x:c r="C12" t="str"/>
      <x:c r="D12" t="str"/>
    </x:row>
    <x:row r="13">
      <x:c r="A13" t="str">
        <x:v>4</x:v>
      </x:c>
      <x:c r="B13" t="str">
        <x:v>Após atualizar, fazer upload no GitHub com o nome crm_purion.xlsx.</x:v>
      </x:c>
      <x:c r="C13" t="str"/>
      <x:c r="D13" t="str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30" t="str">
        <x:v>CRM Purion — como atualizar</x:v>
      </x:c>
    </x:row>
    <x:row r="2">
      <x:c r="A2" s="22" t="str"/>
    </x:row>
    <x:row r="3">
      <x:c r="A3" s="22" t="str">
        <x:v>1. Use a folha CRM_Leads como base principal.</x:v>
      </x:c>
    </x:row>
    <x:row r="4">
      <x:c r="A4" s="22" t="str">
        <x:v>2. Não altere o nome da folha CRM_Leads.</x:v>
      </x:c>
    </x:row>
    <x:row r="5">
      <x:c r="A5" s="22" t="str">
        <x:v>3. Não altere os nomes dos cabeçalhos da linha 1.</x:v>
      </x:c>
    </x:row>
    <x:row r="6">
      <x:c r="A6" s="22" t="str">
        <x:v>4. Para o dashboard online, salve/substitua o ficheiro no GitHub com o nome exato: crm_purion.xlsx.</x:v>
      </x:c>
    </x:row>
    <x:row r="7">
      <x:c r="A7" s="22" t="str">
        <x:v>5. A folha Resumo_Dashboard serve apenas para conferência rápida dentro do Excel.</x:v>
      </x:c>
    </x:row>
    <x:row r="8">
      <x:c r="A8" s="22" t="str">
        <x:v>6. A folha Listas contém valores usados para padronizar estados, origens e tipos de serviço.</x:v>
      </x:c>
    </x:row>
  </x:sheetData>
  <x:pageMargins left="0.7" right="0.7" top="0.75" bottom="0.75" header="0.3" footer="0.3"/>
</x:worksheet>
</file>